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nes0-my.sharepoint.com/personal/boteri_mines_edu/Documents/Documents/Research/BEAVRS/PHYSOR2026/"/>
    </mc:Choice>
  </mc:AlternateContent>
  <xr:revisionPtr revIDLastSave="1" documentId="8_{2D4717FF-4A19-41DF-BCE7-B1446B508AE0}" xr6:coauthVersionLast="47" xr6:coauthVersionMax="47" xr10:uidLastSave="{C2A5CF5C-D7E9-42DF-848D-EEBE83D477D2}"/>
  <bookViews>
    <workbookView xWindow="1073" yWindow="1073" windowWidth="16200" windowHeight="8295" xr2:uid="{00000000-000D-0000-FFFF-FFFF00000000}"/>
  </bookViews>
  <sheets>
    <sheet name="Table I" sheetId="6" r:id="rId1"/>
    <sheet name="Table II" sheetId="3" r:id="rId2"/>
    <sheet name="Table III" sheetId="8" r:id="rId3"/>
    <sheet name="Figure 1" sheetId="7" r:id="rId4"/>
    <sheet name="Table IV" sheetId="11" r:id="rId5"/>
    <sheet name="Appendix A (Changes to BEAVRS)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8" l="1"/>
  <c r="J10" i="8"/>
  <c r="J9" i="8"/>
  <c r="J8" i="8"/>
  <c r="J7" i="8"/>
  <c r="J6" i="8"/>
  <c r="J5" i="8"/>
  <c r="J4" i="8"/>
  <c r="I9" i="7"/>
  <c r="I8" i="7"/>
  <c r="I7" i="7"/>
  <c r="I6" i="7"/>
  <c r="I5" i="7"/>
  <c r="F11" i="3"/>
  <c r="F10" i="3"/>
  <c r="F9" i="3"/>
  <c r="F8" i="3"/>
  <c r="F7" i="3"/>
  <c r="F6" i="3"/>
  <c r="F5" i="3"/>
  <c r="F4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<sst xmlns="http://schemas.openxmlformats.org/spreadsheetml/2006/main" count="219" uniqueCount="171">
  <si>
    <t>-</t>
  </si>
  <si>
    <t>Uncertainty</t>
  </si>
  <si>
    <t>OpenMC Version</t>
  </si>
  <si>
    <t>keff</t>
  </si>
  <si>
    <t>Delta from 0.15.2</t>
  </si>
  <si>
    <t>Delta from unity keff</t>
  </si>
  <si>
    <t>0.9.0</t>
  </si>
  <si>
    <t>0.10.0</t>
  </si>
  <si>
    <t>0.11.0</t>
  </si>
  <si>
    <t>0.12.0</t>
  </si>
  <si>
    <t>0.13.0</t>
  </si>
  <si>
    <t>0.14.0</t>
  </si>
  <si>
    <t>0.15.0</t>
  </si>
  <si>
    <t>0.15.2</t>
  </si>
  <si>
    <t xml:space="preserve">SUM = </t>
  </si>
  <si>
    <t>BEAVRS 1.0.1</t>
  </si>
  <si>
    <t>BEAVRS 3.0.2</t>
  </si>
  <si>
    <t>Air density = 0.0016 g/cc</t>
  </si>
  <si>
    <t>Air density = 0.00016 g/cc</t>
  </si>
  <si>
    <t>Air in control rod and control rod gaps</t>
  </si>
  <si>
    <t>Helium in control rod and control rod gaps</t>
  </si>
  <si>
    <t>Added core liner</t>
  </si>
  <si>
    <t>Water gap added between fuel assemblies and baffle</t>
  </si>
  <si>
    <t>New material added for nozzle and support plate water and stainless steel</t>
  </si>
  <si>
    <t>Upper plenum and end plugs added for burnable poison rods</t>
  </si>
  <si>
    <t>Ag-In-Cd and B4C control rods</t>
  </si>
  <si>
    <t>Material composition explicitly defined on isotope level</t>
  </si>
  <si>
    <t>Weight of Inconel grids = 390.136 g</t>
  </si>
  <si>
    <t>Pressure vessel IR = 219.71 cm and OR = 241.3 cm</t>
  </si>
  <si>
    <t>BEAVRS Version</t>
  </si>
  <si>
    <t>2.0.0</t>
  </si>
  <si>
    <t>1.1.1</t>
  </si>
  <si>
    <t>1.0.1</t>
  </si>
  <si>
    <t>1.0.0</t>
  </si>
  <si>
    <t>Date</t>
  </si>
  <si>
    <t>3.0.2</t>
  </si>
  <si>
    <t>3.0.1</t>
  </si>
  <si>
    <t>2.0.2</t>
  </si>
  <si>
    <t>2.0.1</t>
  </si>
  <si>
    <t xml:space="preserve">3.0.0 </t>
  </si>
  <si>
    <t xml:space="preserve">0.8.0 </t>
  </si>
  <si>
    <t>* Results from origional published benchmark in 2013</t>
  </si>
  <si>
    <t>0.99920 *</t>
  </si>
  <si>
    <t>0.00004 *</t>
  </si>
  <si>
    <t>0.5.2</t>
  </si>
  <si>
    <t>0.5.0</t>
  </si>
  <si>
    <t>Temperature Method: Nearest</t>
  </si>
  <si>
    <t>Temperature</t>
  </si>
  <si>
    <t>Δkeff due to method used [pcm]</t>
  </si>
  <si>
    <t>Raw Data Source</t>
  </si>
  <si>
    <t>ACE Library Source</t>
  </si>
  <si>
    <t>ENDF/B-VII.0</t>
  </si>
  <si>
    <t>LANL</t>
  </si>
  <si>
    <t>ENDF/B-VII.1</t>
  </si>
  <si>
    <t>NJOY 2016.68</t>
  </si>
  <si>
    <t>ENDF/B-VIII.0</t>
  </si>
  <si>
    <t>JEFF 3.2</t>
  </si>
  <si>
    <t>NEA</t>
  </si>
  <si>
    <t>JEFF 3.3</t>
  </si>
  <si>
    <r>
      <t>k</t>
    </r>
    <r>
      <rPr>
        <b/>
        <vertAlign val="subscript"/>
        <sz val="12"/>
        <color theme="1"/>
        <rFont val="Times New Roman"/>
        <family val="1"/>
      </rPr>
      <t>eff</t>
    </r>
  </si>
  <si>
    <r>
      <t>k</t>
    </r>
    <r>
      <rPr>
        <b/>
        <vertAlign val="subscript"/>
        <sz val="12"/>
        <color theme="1"/>
        <rFont val="Times New Roman"/>
        <family val="1"/>
      </rPr>
      <t>eff</t>
    </r>
    <r>
      <rPr>
        <b/>
        <sz val="12"/>
        <color theme="1"/>
        <rFont val="Times New Roman"/>
        <family val="1"/>
      </rPr>
      <t xml:space="preserve"> when no thermal scattering library</t>
    </r>
  </si>
  <si>
    <t>Δkeff from thermal scattering library [pcm]</t>
  </si>
  <si>
    <t xml:space="preserve">Ag-In-Cd control rods </t>
  </si>
  <si>
    <t>OpenMC allowed C0 to be cross section input for adding natural abundance of carbon to a material</t>
  </si>
  <si>
    <t>OpenMC requires C12 and C13 cross section libraries when adding natural abundance of carbon to a material</t>
  </si>
  <si>
    <t>OpenMC allowed cross section library to have just O16 and O17 when natural abundance of oxygen is added to a material</t>
  </si>
  <si>
    <t>OpenMC requires O16, O17, and O18 to be in cross section library when natural abundance of oxygen is added to a material</t>
  </si>
  <si>
    <t>Material composition defined on elemental level for most materials</t>
  </si>
  <si>
    <t>Weight of Inconel grids = 780.273 g</t>
  </si>
  <si>
    <t>Weight of stainless steel grids = 80 g</t>
  </si>
  <si>
    <t>Weight of stainless steel grids = 91.0329 g</t>
  </si>
  <si>
    <t>Nozzle and support plate used same water and stainless steel as rest of core</t>
  </si>
  <si>
    <t xml:space="preserve">Upper plenum, end plugs, and spacer region added for control rods </t>
  </si>
  <si>
    <t>RPC liner added</t>
  </si>
  <si>
    <t>Water gap added between neutron shield and core barrel</t>
  </si>
  <si>
    <t>Pressure vessel IR = 230 cm and OR = 251.9 cm</t>
  </si>
  <si>
    <t>Neutron shield panel width = 30 ⷪ at the 45 ⷪ marks</t>
  </si>
  <si>
    <t>Neutron shield panel width = 32 ⷪ at the 45 ⷪ marks</t>
  </si>
  <si>
    <t>Run #</t>
  </si>
  <si>
    <t>ARO</t>
  </si>
  <si>
    <t>027</t>
  </si>
  <si>
    <t>028</t>
  </si>
  <si>
    <t>029</t>
  </si>
  <si>
    <t>030</t>
  </si>
  <si>
    <t>031</t>
  </si>
  <si>
    <t>032</t>
  </si>
  <si>
    <t>D in</t>
  </si>
  <si>
    <t>033</t>
  </si>
  <si>
    <t>C, D in</t>
  </si>
  <si>
    <t>034</t>
  </si>
  <si>
    <t>A, B, C, D in</t>
  </si>
  <si>
    <t>035</t>
  </si>
  <si>
    <t>A, B, C, D, SE, SD, SC in</t>
  </si>
  <si>
    <t>036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</si>
  <si>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</si>
  <si>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</si>
  <si>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</si>
  <si>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</si>
  <si>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</si>
  <si>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</si>
  <si>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</si>
  <si>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</si>
  <si>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</si>
  <si>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</si>
  <si>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</si>
  <si>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001</t>
  </si>
  <si>
    <t>002</t>
  </si>
  <si>
    <t>003</t>
  </si>
  <si>
    <t>004</t>
  </si>
  <si>
    <t>009</t>
  </si>
  <si>
    <t>005</t>
  </si>
  <si>
    <t>006</t>
  </si>
  <si>
    <t>007</t>
  </si>
  <si>
    <t>008</t>
  </si>
  <si>
    <t>010</t>
  </si>
  <si>
    <t>011</t>
  </si>
  <si>
    <r>
      <rPr>
        <b/>
        <i/>
        <sz val="12"/>
        <color theme="1"/>
        <rFont val="Times New Roman"/>
        <family val="1"/>
      </rPr>
      <t>Table II.</t>
    </r>
    <r>
      <rPr>
        <i/>
        <sz val="12"/>
        <color theme="1"/>
        <rFont val="Times New Roman"/>
        <family val="1"/>
      </rPr>
      <t xml:space="preserve"> OpenMC version consistency test - same materials, geometry, and settings XML files input for all versions shown.</t>
    </r>
  </si>
  <si>
    <r>
      <rPr>
        <b/>
        <sz val="12"/>
        <color theme="1"/>
        <rFont val="Times New Roman"/>
        <family val="1"/>
      </rPr>
      <t>Table I:</t>
    </r>
    <r>
      <rPr>
        <sz val="12"/>
        <color theme="1"/>
        <rFont val="Times New Roman"/>
        <family val="1"/>
      </rPr>
      <t xml:space="preserve"> Representation of how the evolution of BEAVRS over time has changed simulation results. </t>
    </r>
  </si>
  <si>
    <t>012</t>
  </si>
  <si>
    <t>016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</si>
  <si>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</si>
  <si>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</si>
  <si>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</si>
  <si>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</si>
  <si>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</si>
  <si>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</si>
  <si>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</si>
  <si>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</si>
  <si>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</si>
  <si>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</si>
  <si>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</si>
  <si>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</si>
  <si>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</si>
  <si>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HZP Critical Boron Evaluation</t>
  </si>
  <si>
    <t>Tallied</t>
  </si>
  <si>
    <t>Boron Concentration</t>
  </si>
  <si>
    <t>[ppm]</t>
  </si>
  <si>
    <t>[pcm]</t>
  </si>
  <si>
    <t>0.99971 ± 0.00004</t>
  </si>
  <si>
    <t>1.00129 ± 0.00004</t>
  </si>
  <si>
    <t>1.00045 ± 0.00004</t>
  </si>
  <si>
    <t>0.99871 ± 0.00004</t>
  </si>
  <si>
    <t>0.99717 ± 0.00005</t>
  </si>
  <si>
    <t>HZP Bank Worths</t>
  </si>
  <si>
    <t xml:space="preserve">Tallied </t>
  </si>
  <si>
    <t>(k1-k0)/(k1k0) * [pcm]</t>
  </si>
  <si>
    <t>Measured</t>
  </si>
  <si>
    <t>Difference</t>
  </si>
  <si>
    <t>D</t>
  </si>
  <si>
    <t>777 ± 7</t>
  </si>
  <si>
    <t>C with D in</t>
  </si>
  <si>
    <t>1245 ± 6</t>
  </si>
  <si>
    <t>B with D, C in</t>
  </si>
  <si>
    <t>1214 ± 7</t>
  </si>
  <si>
    <t>†A with D, C, B in</t>
  </si>
  <si>
    <t>552 ± 7</t>
  </si>
  <si>
    <t>SE with D, C, B, A in</t>
  </si>
  <si>
    <t>487 ± 7</t>
  </si>
  <si>
    <t>†SD with D, C, B, A, SE in</t>
  </si>
  <si>
    <t>802 ± 7</t>
  </si>
  <si>
    <t>†SC with D, C, B, A, SE, SD in</t>
  </si>
  <si>
    <t>1123 ± 7</t>
  </si>
  <si>
    <t>BEAVRS 2024 OpenMC Benchmark Results</t>
  </si>
  <si>
    <r>
      <t>⸹ from ARO k</t>
    </r>
    <r>
      <rPr>
        <b/>
        <vertAlign val="subscript"/>
        <sz val="12"/>
        <color theme="1"/>
        <rFont val="Times New Roman"/>
        <family val="1"/>
      </rPr>
      <t>eff</t>
    </r>
  </si>
  <si>
    <r>
      <t>k</t>
    </r>
    <r>
      <rPr>
        <b/>
        <vertAlign val="subscript"/>
        <sz val="12"/>
        <color theme="1"/>
        <rFont val="Times New Roman"/>
        <family val="1"/>
      </rPr>
      <t>eff</t>
    </r>
    <r>
      <rPr>
        <b/>
        <sz val="12"/>
        <color theme="1"/>
        <rFont val="Times New Roman"/>
        <family val="1"/>
      </rPr>
      <t xml:space="preserve"> ± σ</t>
    </r>
  </si>
  <si>
    <t>Temperature Method: Interpolation</t>
  </si>
  <si>
    <r>
      <rPr>
        <b/>
        <i/>
        <sz val="12"/>
        <color theme="1"/>
        <rFont val="Times New Roman"/>
        <family val="1"/>
      </rPr>
      <t>Figure I</t>
    </r>
    <r>
      <rPr>
        <i/>
        <sz val="12"/>
        <color theme="1"/>
        <rFont val="Times New Roman"/>
        <family val="1"/>
      </rPr>
      <t>. Impact on keff at variety of temperatures when temperature methods 'interpolation' and 'nearest' are used.</t>
    </r>
  </si>
  <si>
    <r>
      <rPr>
        <b/>
        <i/>
        <sz val="12"/>
        <color theme="1"/>
        <rFont val="Times New Roman"/>
        <family val="1"/>
      </rPr>
      <t>Table III.</t>
    </r>
    <r>
      <rPr>
        <i/>
        <sz val="12"/>
        <color theme="1"/>
        <rFont val="Times New Roman"/>
        <family val="1"/>
      </rPr>
      <t xml:space="preserve"> Consistent simulation runs with different cross section libraries. Baseline library highlighted.</t>
    </r>
  </si>
  <si>
    <r>
      <t>* k</t>
    </r>
    <r>
      <rPr>
        <i/>
        <vertAlign val="subscript"/>
        <sz val="12"/>
        <color theme="1"/>
        <rFont val="Times New Roman"/>
        <family val="1"/>
      </rPr>
      <t>0</t>
    </r>
    <r>
      <rPr>
        <i/>
        <sz val="12"/>
        <color theme="1"/>
        <rFont val="Times New Roman"/>
        <family val="1"/>
      </rPr>
      <t xml:space="preserve"> and k</t>
    </r>
    <r>
      <rPr>
        <i/>
        <vertAlign val="subscript"/>
        <sz val="12"/>
        <color theme="1"/>
        <rFont val="Times New Roman"/>
        <family val="1"/>
      </rPr>
      <t>1</t>
    </r>
    <r>
      <rPr>
        <i/>
        <sz val="12"/>
        <color theme="1"/>
        <rFont val="Times New Roman"/>
        <family val="1"/>
      </rPr>
      <t xml:space="preserve"> are the OpenMC k</t>
    </r>
    <r>
      <rPr>
        <i/>
        <vertAlign val="subscript"/>
        <sz val="12"/>
        <color theme="1"/>
        <rFont val="Times New Roman"/>
        <family val="1"/>
      </rPr>
      <t>eff</t>
    </r>
    <r>
      <rPr>
        <i/>
        <sz val="12"/>
        <color theme="1"/>
        <rFont val="Times New Roman"/>
        <family val="1"/>
      </rPr>
      <t xml:space="preserve"> values before and after insertion of the bank, at the critical boron concentration of each rod-withdrawn configuration. </t>
    </r>
  </si>
  <si>
    <r>
      <t xml:space="preserve">† </t>
    </r>
    <r>
      <rPr>
        <i/>
        <sz val="12"/>
        <color theme="1"/>
        <rFont val="Times New Roman"/>
        <family val="1"/>
      </rPr>
      <t>Where no boron data were provided for the rod-withdrawn configuration, k</t>
    </r>
    <r>
      <rPr>
        <i/>
        <vertAlign val="subscript"/>
        <sz val="12"/>
        <color theme="1"/>
        <rFont val="Times New Roman"/>
        <family val="1"/>
      </rPr>
      <t>0</t>
    </r>
    <r>
      <rPr>
        <i/>
        <sz val="12"/>
        <color theme="1"/>
        <rFont val="Times New Roman"/>
        <family val="1"/>
      </rPr>
      <t xml:space="preserve"> and k</t>
    </r>
    <r>
      <rPr>
        <i/>
        <vertAlign val="subscript"/>
        <sz val="12"/>
        <color theme="1"/>
        <rFont val="Times New Roman"/>
        <family val="1"/>
      </rPr>
      <t>1</t>
    </r>
    <r>
      <rPr>
        <i/>
        <sz val="12"/>
        <color theme="1"/>
        <rFont val="Times New Roman"/>
        <family val="1"/>
      </rPr>
      <t xml:space="preserve"> were found using a boron concentration extrapolated from the existing data uniformly with origional benchmark from 2013. </t>
    </r>
  </si>
  <si>
    <t>MAJOR CHANGES TO BEAVRS 2013-2025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</si>
</sst>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49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2" fillId="0" borderId="16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372039</xdr:colOff>
      <xdr:row>9</xdr:row>
      <xdr:rowOff>156911</xdr:rowOff>
    </xdr:from>
    <xdr:to>
      <xdr:col>8</xdr:col>
      <xdr:colOff>25065</xdr:colOff>
      <xdr:row>25</xdr:row>
      <xdr:rowOff>185968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D43B9-26D8-DDAE-28B9-9701A60B2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832" y="2055645"/>
          <a:ext cx="6608783" cy="3300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075F-E022-485B-BB40-9F72660BA220}">
  <dimension ref="B1:G14"/>
  <sheetViews>
    <sheetView tabSelected="1" workbookViewId="0">
      <selection activeCell="K8" sqref="K8"/>
    </sheetView>
  </sheetViews>
  <sheetFormatPr defaultRowHeight="15.4" x14ac:dyDescent="0.45"/>
  <cols>
    <col min="1" max="1" width="9.06640625" style="11"/>
    <col min="2" max="2" width="10.46484375" style="11" bestFit="1" customWidth="1"/>
    <col min="3" max="3" width="17.3984375" style="11" customWidth="1"/>
    <col min="4" max="4" width="16.59765625" style="11" customWidth="1"/>
    <col min="5" max="5" width="10.86328125" style="11" customWidth="1"/>
    <col min="6" max="6" width="12.86328125" style="11" customWidth="1"/>
    <col min="7" max="16384" width="9.06640625" style="11"/>
  </cols>
  <sheetData>
    <row r="1" spans="2:7" x14ac:dyDescent="0.45">
      <c r="B1" s="70" t="s">
        <v>117</v>
      </c>
      <c r="C1" s="70"/>
      <c r="D1" s="70"/>
      <c r="E1" s="70"/>
      <c r="F1" s="70"/>
      <c r="G1" s="70"/>
    </row>
    <row r="2" spans="2:7" ht="15.75" thickBot="1" x14ac:dyDescent="0.5">
      <c r="B2" s="71"/>
      <c r="C2" s="71"/>
      <c r="D2" s="71"/>
      <c r="E2" s="71"/>
      <c r="F2" s="71"/>
      <c r="G2" s="71"/>
    </row>
    <row r="3" spans="2:7" ht="15.75" thickBot="1" x14ac:dyDescent="0.5">
      <c r="B3" s="55" t="s">
        <v>34</v>
      </c>
      <c r="C3" s="56" t="s">
        <v>29</v>
      </c>
      <c r="D3" s="56" t="s">
        <v>2</v>
      </c>
      <c r="E3" s="56" t="s">
        <v>3</v>
      </c>
      <c r="F3" s="56" t="s">
        <v>1</v>
      </c>
      <c r="G3" s="57" t="s">
        <v>78</v>
      </c>
    </row>
    <row r="4" spans="2:7" x14ac:dyDescent="0.45">
      <c r="B4" s="19">
        <v>45659</v>
      </c>
      <c r="C4" s="11" t="s">
        <v>35</v>
      </c>
      <c r="D4" s="11" t="s">
        <v>13</v>
      </c>
      <c r="E4" s="1">
        <v>0.99970999999999999</v>
      </c>
      <c r="F4" s="1">
        <v>4.0000000000000003E-5</v>
      </c>
      <c r="G4" s="20" t="s">
        <v>105</v>
      </c>
    </row>
    <row r="5" spans="2:7" x14ac:dyDescent="0.45">
      <c r="B5" s="19">
        <v>44171</v>
      </c>
      <c r="C5" s="11" t="s">
        <v>36</v>
      </c>
      <c r="D5" s="11" t="s">
        <v>9</v>
      </c>
      <c r="E5" s="1">
        <v>0.99973000000000001</v>
      </c>
      <c r="F5" s="1">
        <v>5.0000000000000002E-5</v>
      </c>
      <c r="G5" s="20" t="s">
        <v>106</v>
      </c>
    </row>
    <row r="6" spans="2:7" x14ac:dyDescent="0.45">
      <c r="B6" s="19">
        <v>43242</v>
      </c>
      <c r="C6" s="11" t="s">
        <v>39</v>
      </c>
      <c r="D6" s="11" t="s">
        <v>7</v>
      </c>
      <c r="E6" s="1">
        <v>1.00004</v>
      </c>
      <c r="F6" s="1">
        <v>4.0000000000000003E-5</v>
      </c>
      <c r="G6" s="20" t="s">
        <v>107</v>
      </c>
    </row>
    <row r="7" spans="2:7" ht="15.75" thickBot="1" x14ac:dyDescent="0.5">
      <c r="B7" s="21">
        <v>43038</v>
      </c>
      <c r="C7" s="16" t="s">
        <v>37</v>
      </c>
      <c r="D7" s="16" t="s">
        <v>6</v>
      </c>
      <c r="E7" s="22">
        <v>1.0004599999999999</v>
      </c>
      <c r="F7" s="22">
        <v>5.0000000000000002E-5</v>
      </c>
      <c r="G7" s="23" t="s">
        <v>108</v>
      </c>
    </row>
    <row r="8" spans="2:7" x14ac:dyDescent="0.45">
      <c r="B8" s="19">
        <v>42669</v>
      </c>
      <c r="C8" s="11" t="s">
        <v>38</v>
      </c>
      <c r="D8" s="11" t="s">
        <v>40</v>
      </c>
      <c r="E8" s="1" t="s">
        <v>0</v>
      </c>
      <c r="F8" s="1" t="s">
        <v>0</v>
      </c>
      <c r="G8" s="24" t="s">
        <v>0</v>
      </c>
    </row>
    <row r="9" spans="2:7" x14ac:dyDescent="0.45">
      <c r="B9" s="19">
        <v>42619</v>
      </c>
      <c r="C9" s="11" t="s">
        <v>30</v>
      </c>
      <c r="D9" s="11" t="s">
        <v>40</v>
      </c>
      <c r="E9" s="1" t="s">
        <v>0</v>
      </c>
      <c r="F9" s="1" t="s">
        <v>0</v>
      </c>
      <c r="G9" s="24" t="s">
        <v>0</v>
      </c>
    </row>
    <row r="10" spans="2:7" x14ac:dyDescent="0.45">
      <c r="B10" s="19">
        <v>41563</v>
      </c>
      <c r="C10" s="11" t="s">
        <v>31</v>
      </c>
      <c r="D10" s="25" t="s">
        <v>44</v>
      </c>
      <c r="E10" s="1" t="s">
        <v>0</v>
      </c>
      <c r="F10" s="1" t="s">
        <v>0</v>
      </c>
      <c r="G10" s="24" t="s">
        <v>0</v>
      </c>
    </row>
    <row r="11" spans="2:7" x14ac:dyDescent="0.45">
      <c r="B11" s="19">
        <v>41326</v>
      </c>
      <c r="C11" s="11" t="s">
        <v>32</v>
      </c>
      <c r="D11" s="25" t="s">
        <v>44</v>
      </c>
      <c r="E11" s="1" t="s">
        <v>42</v>
      </c>
      <c r="F11" s="1" t="s">
        <v>43</v>
      </c>
      <c r="G11" s="24" t="s">
        <v>0</v>
      </c>
    </row>
    <row r="12" spans="2:7" ht="15.75" thickBot="1" x14ac:dyDescent="0.5">
      <c r="B12" s="21">
        <v>41305</v>
      </c>
      <c r="C12" s="16" t="s">
        <v>33</v>
      </c>
      <c r="D12" s="33" t="s">
        <v>45</v>
      </c>
      <c r="E12" s="22" t="s">
        <v>0</v>
      </c>
      <c r="F12" s="22" t="s">
        <v>0</v>
      </c>
      <c r="G12" s="58" t="s">
        <v>0</v>
      </c>
    </row>
    <row r="14" spans="2:7" x14ac:dyDescent="0.45">
      <c r="B14" s="18" t="s">
        <v>41</v>
      </c>
    </row>
  </sheetData>
  <mergeCells count="1">
    <mergeCell ref="B1:G2"/>
  </mergeCells>
  <pageMargins left="0.7" right="0.7" top="0.75" bottom="0.75" header="0.3" footer="0.3"/>
  <ignoredErrors>
    <ignoredError sqref="G4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56E0-D94C-416D-A9B4-F62993F9A215}">
  <dimension ref="B1:G14"/>
  <sheetViews>
    <sheetView zoomScale="90" workbookViewId="0">
      <selection activeCell="D23" sqref="D23"/>
    </sheetView>
  </sheetViews>
  <sheetFormatPr defaultRowHeight="15.4" x14ac:dyDescent="0.45"/>
  <cols>
    <col min="1" max="1" width="2.796875" style="10" customWidth="1"/>
    <col min="2" max="2" width="19.1328125" style="10" customWidth="1"/>
    <col min="3" max="3" width="9.06640625" style="10"/>
    <col min="4" max="4" width="13.19921875" style="10" customWidth="1"/>
    <col min="5" max="5" width="18.86328125" style="10" customWidth="1"/>
    <col min="6" max="6" width="22.46484375" style="10" customWidth="1"/>
    <col min="7" max="16384" width="9.06640625" style="10"/>
  </cols>
  <sheetData>
    <row r="1" spans="2:7" ht="14.25" customHeight="1" x14ac:dyDescent="0.45">
      <c r="B1" s="72" t="s">
        <v>116</v>
      </c>
      <c r="C1" s="72"/>
      <c r="D1" s="72"/>
      <c r="E1" s="72"/>
      <c r="F1" s="72"/>
      <c r="G1" s="72"/>
    </row>
    <row r="2" spans="2:7" ht="21.75" customHeight="1" thickBot="1" x14ac:dyDescent="0.5">
      <c r="B2" s="73"/>
      <c r="C2" s="73"/>
      <c r="D2" s="73"/>
      <c r="E2" s="73"/>
      <c r="F2" s="73"/>
      <c r="G2" s="73"/>
    </row>
    <row r="3" spans="2:7" ht="15.75" thickBot="1" x14ac:dyDescent="0.5">
      <c r="B3" s="52" t="s">
        <v>2</v>
      </c>
      <c r="C3" s="53" t="s">
        <v>3</v>
      </c>
      <c r="D3" s="53" t="s">
        <v>1</v>
      </c>
      <c r="E3" s="53" t="s">
        <v>4</v>
      </c>
      <c r="F3" s="53" t="s">
        <v>5</v>
      </c>
      <c r="G3" s="54" t="s">
        <v>78</v>
      </c>
    </row>
    <row r="4" spans="2:7" x14ac:dyDescent="0.45">
      <c r="B4" s="13" t="s">
        <v>13</v>
      </c>
      <c r="C4" s="11">
        <v>0.99970999999999999</v>
      </c>
      <c r="D4" s="11">
        <v>4.0000000000000003E-5</v>
      </c>
      <c r="E4" s="14"/>
      <c r="F4" s="14">
        <f t="shared" ref="F4:F11" si="0">ABS(((C4-1)/(C4*1))*100000)</f>
        <v>29.00841243960873</v>
      </c>
      <c r="G4" s="20" t="s">
        <v>105</v>
      </c>
    </row>
    <row r="5" spans="2:7" x14ac:dyDescent="0.45">
      <c r="B5" s="13" t="s">
        <v>12</v>
      </c>
      <c r="C5" s="11">
        <v>0.99970999999999999</v>
      </c>
      <c r="D5" s="11">
        <v>4.0000000000000003E-5</v>
      </c>
      <c r="E5" s="14">
        <f>C4-C5</f>
        <v>0</v>
      </c>
      <c r="F5" s="14">
        <f t="shared" si="0"/>
        <v>29.00841243960873</v>
      </c>
      <c r="G5" s="20" t="s">
        <v>110</v>
      </c>
    </row>
    <row r="6" spans="2:7" x14ac:dyDescent="0.45">
      <c r="B6" s="13" t="s">
        <v>11</v>
      </c>
      <c r="C6" s="11">
        <v>0.99970999999999999</v>
      </c>
      <c r="D6" s="11">
        <v>4.0000000000000003E-5</v>
      </c>
      <c r="E6" s="14">
        <f>C6-C4</f>
        <v>0</v>
      </c>
      <c r="F6" s="14">
        <f t="shared" si="0"/>
        <v>29.00841243960873</v>
      </c>
      <c r="G6" s="20" t="s">
        <v>111</v>
      </c>
    </row>
    <row r="7" spans="2:7" x14ac:dyDescent="0.45">
      <c r="B7" s="13" t="s">
        <v>10</v>
      </c>
      <c r="C7" s="11">
        <v>0.99972000000000005</v>
      </c>
      <c r="D7" s="11">
        <v>4.0000000000000003E-5</v>
      </c>
      <c r="E7" s="14">
        <f>ABS(((C7-C4)/(C7*C4))*100000)</f>
        <v>1.000570243799213</v>
      </c>
      <c r="F7" s="14">
        <f t="shared" si="0"/>
        <v>28.00784219580952</v>
      </c>
      <c r="G7" s="20" t="s">
        <v>112</v>
      </c>
    </row>
    <row r="8" spans="2:7" x14ac:dyDescent="0.45">
      <c r="B8" s="13" t="s">
        <v>9</v>
      </c>
      <c r="C8" s="11">
        <v>0.99968000000000001</v>
      </c>
      <c r="D8" s="11">
        <v>4.0000000000000003E-5</v>
      </c>
      <c r="E8" s="14">
        <f>ABS(((C8-C4)/(C8*C4))*100000)</f>
        <v>3.001830838238873</v>
      </c>
      <c r="F8" s="14">
        <f t="shared" si="0"/>
        <v>32.010243277847607</v>
      </c>
      <c r="G8" s="20" t="s">
        <v>113</v>
      </c>
    </row>
    <row r="9" spans="2:7" x14ac:dyDescent="0.45">
      <c r="B9" s="13" t="s">
        <v>8</v>
      </c>
      <c r="C9" s="11">
        <v>0.99977000000000005</v>
      </c>
      <c r="D9" s="11">
        <v>4.0000000000000003E-5</v>
      </c>
      <c r="E9" s="14">
        <f>ABS(((C9-C4)/(C9*C4))*100000)</f>
        <v>6.0031212226335846</v>
      </c>
      <c r="F9" s="14">
        <f t="shared" si="0"/>
        <v>23.005291216975149</v>
      </c>
      <c r="G9" s="20" t="s">
        <v>109</v>
      </c>
    </row>
    <row r="10" spans="2:7" x14ac:dyDescent="0.45">
      <c r="B10" s="13" t="s">
        <v>7</v>
      </c>
      <c r="C10" s="11">
        <v>0.99988999999999995</v>
      </c>
      <c r="D10" s="11">
        <v>5.0000000000000002E-5</v>
      </c>
      <c r="E10" s="14">
        <f>ABS(((C10-C4)/(C10*C4))*100000)</f>
        <v>18.00720230648864</v>
      </c>
      <c r="F10" s="14">
        <f t="shared" si="0"/>
        <v>11.001210133120093</v>
      </c>
      <c r="G10" s="20" t="s">
        <v>114</v>
      </c>
    </row>
    <row r="11" spans="2:7" ht="15.75" thickBot="1" x14ac:dyDescent="0.5">
      <c r="B11" s="15" t="s">
        <v>6</v>
      </c>
      <c r="C11" s="16">
        <v>1.0000100000000001</v>
      </c>
      <c r="D11" s="16">
        <v>4.0000000000000003E-5</v>
      </c>
      <c r="E11" s="17">
        <f>ABS(((C11-C4)/(C11*C4))*100000)</f>
        <v>30.008402439715287</v>
      </c>
      <c r="F11" s="17">
        <f t="shared" si="0"/>
        <v>0.99999000010655004</v>
      </c>
      <c r="G11" s="23" t="s">
        <v>115</v>
      </c>
    </row>
    <row r="13" spans="2:7" x14ac:dyDescent="0.45">
      <c r="E13" s="11" t="s">
        <v>14</v>
      </c>
      <c r="F13" s="11" t="s">
        <v>14</v>
      </c>
    </row>
    <row r="14" spans="2:7" x14ac:dyDescent="0.45">
      <c r="E14" s="14">
        <v>58</v>
      </c>
      <c r="F14" s="14">
        <v>182</v>
      </c>
    </row>
  </sheetData>
  <mergeCells count="1">
    <mergeCell ref="B1:G2"/>
  </mergeCells>
  <pageMargins left="0.7" right="0.7" top="0.75" bottom="0.75" header="0.3" footer="0.3"/>
  <ignoredErrors>
    <ignoredError sqref="G4: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5540-9F4B-4A8F-8973-0EA753A74618}">
  <dimension ref="B1:J11"/>
  <sheetViews>
    <sheetView zoomScale="89" workbookViewId="0">
      <selection activeCell="E17" sqref="E17"/>
    </sheetView>
  </sheetViews>
  <sheetFormatPr defaultRowHeight="15.4" x14ac:dyDescent="0.45"/>
  <cols>
    <col min="1" max="1" width="9.06640625" style="10"/>
    <col min="2" max="2" width="15.73046875" style="10" customWidth="1"/>
    <col min="3" max="3" width="20.265625" style="10" customWidth="1"/>
    <col min="4" max="4" width="15.46484375" style="10" customWidth="1"/>
    <col min="5" max="6" width="14" style="10" customWidth="1"/>
    <col min="7" max="7" width="21.06640625" style="10" customWidth="1"/>
    <col min="8" max="9" width="13.59765625" style="10" customWidth="1"/>
    <col min="10" max="10" width="24.9296875" style="10" customWidth="1"/>
    <col min="11" max="16384" width="9.06640625" style="10"/>
  </cols>
  <sheetData>
    <row r="1" spans="2:10" ht="14.25" customHeight="1" x14ac:dyDescent="0.45">
      <c r="B1" s="72" t="s">
        <v>167</v>
      </c>
      <c r="C1" s="72"/>
      <c r="D1" s="72"/>
      <c r="E1" s="72"/>
      <c r="F1" s="72"/>
      <c r="G1" s="72"/>
      <c r="H1" s="72"/>
      <c r="I1" s="72"/>
      <c r="J1" s="72"/>
    </row>
    <row r="2" spans="2:10" ht="15.75" thickBot="1" x14ac:dyDescent="0.5">
      <c r="B2" s="73"/>
      <c r="C2" s="73"/>
      <c r="D2" s="73"/>
      <c r="E2" s="73"/>
      <c r="F2" s="73"/>
      <c r="G2" s="73"/>
      <c r="H2" s="73"/>
      <c r="I2" s="73"/>
      <c r="J2" s="73"/>
    </row>
    <row r="3" spans="2:10" ht="37.5" customHeight="1" thickBot="1" x14ac:dyDescent="0.65">
      <c r="B3" s="59" t="s">
        <v>49</v>
      </c>
      <c r="C3" s="60" t="s">
        <v>50</v>
      </c>
      <c r="D3" s="60" t="s">
        <v>59</v>
      </c>
      <c r="E3" s="60" t="s">
        <v>1</v>
      </c>
      <c r="F3" s="60" t="s">
        <v>78</v>
      </c>
      <c r="G3" s="60" t="s">
        <v>60</v>
      </c>
      <c r="H3" s="60" t="s">
        <v>1</v>
      </c>
      <c r="I3" s="60" t="s">
        <v>78</v>
      </c>
      <c r="J3" s="61" t="s">
        <v>61</v>
      </c>
    </row>
    <row r="4" spans="2:10" x14ac:dyDescent="0.45">
      <c r="B4" s="8" t="s">
        <v>51</v>
      </c>
      <c r="C4" s="6" t="s">
        <v>52</v>
      </c>
      <c r="D4" s="6">
        <v>1.0000800000000001</v>
      </c>
      <c r="E4" s="6">
        <v>5.0000000000000002E-5</v>
      </c>
      <c r="F4" s="12" t="s">
        <v>118</v>
      </c>
      <c r="G4" s="7">
        <v>0.99980999999999998</v>
      </c>
      <c r="H4" s="9">
        <v>4.0000000000000003E-5</v>
      </c>
      <c r="I4" s="12" t="s">
        <v>125</v>
      </c>
      <c r="J4" s="62">
        <f>((D4-G4)/(D4*G4))*100000</f>
        <v>27.002970737236602</v>
      </c>
    </row>
    <row r="5" spans="2:10" x14ac:dyDescent="0.45">
      <c r="B5" s="8" t="s">
        <v>53</v>
      </c>
      <c r="C5" s="6" t="s">
        <v>52</v>
      </c>
      <c r="D5" s="6">
        <v>0.99970999999999999</v>
      </c>
      <c r="E5" s="6">
        <v>4.0000000000000003E-5</v>
      </c>
      <c r="F5" s="12" t="s">
        <v>105</v>
      </c>
      <c r="G5" s="7">
        <v>0.99961999999999995</v>
      </c>
      <c r="H5" s="9">
        <v>5.0000000000000002E-5</v>
      </c>
      <c r="I5" s="12" t="s">
        <v>126</v>
      </c>
      <c r="J5" s="62">
        <f>((D5-G5)/(D5*G5))*100000</f>
        <v>9.0060330496818946</v>
      </c>
    </row>
    <row r="6" spans="2:10" x14ac:dyDescent="0.45">
      <c r="B6" s="8" t="s">
        <v>53</v>
      </c>
      <c r="C6" s="6" t="s">
        <v>54</v>
      </c>
      <c r="D6" s="6">
        <v>1.0001500000000001</v>
      </c>
      <c r="E6" s="6">
        <v>4.0000000000000003E-5</v>
      </c>
      <c r="F6" s="12" t="s">
        <v>121</v>
      </c>
      <c r="G6" s="7">
        <v>0.99946999999999997</v>
      </c>
      <c r="H6" s="7">
        <v>4.0000000000000003E-5</v>
      </c>
      <c r="I6" s="12" t="s">
        <v>127</v>
      </c>
      <c r="J6" s="62">
        <f>((D6-G6)/(D6*G6))*100000</f>
        <v>68.025855233056546</v>
      </c>
    </row>
    <row r="7" spans="2:10" x14ac:dyDescent="0.45">
      <c r="B7" s="8" t="s">
        <v>55</v>
      </c>
      <c r="C7" s="6" t="s">
        <v>52</v>
      </c>
      <c r="D7" s="6">
        <v>1.00129</v>
      </c>
      <c r="E7" s="6">
        <v>5.0000000000000002E-5</v>
      </c>
      <c r="F7" s="12" t="s">
        <v>120</v>
      </c>
      <c r="G7" s="7">
        <v>1.0012300000000001</v>
      </c>
      <c r="H7" s="7">
        <v>5.0000000000000002E-5</v>
      </c>
      <c r="I7" s="12" t="s">
        <v>128</v>
      </c>
      <c r="J7" s="62">
        <f t="shared" ref="J7:J11" si="0">((D7-G7)/(D7*G7))*100000</f>
        <v>5.9849085342342558</v>
      </c>
    </row>
    <row r="8" spans="2:10" x14ac:dyDescent="0.45">
      <c r="B8" s="8" t="s">
        <v>55</v>
      </c>
      <c r="C8" s="6" t="s">
        <v>54</v>
      </c>
      <c r="D8" s="6">
        <v>1.0012300000000001</v>
      </c>
      <c r="E8" s="6">
        <v>4.0000000000000003E-5</v>
      </c>
      <c r="F8" s="12" t="s">
        <v>122</v>
      </c>
      <c r="G8" s="7">
        <v>1.0012099999999999</v>
      </c>
      <c r="H8" s="7">
        <v>4.0000000000000003E-5</v>
      </c>
      <c r="I8" s="12" t="s">
        <v>129</v>
      </c>
      <c r="J8" s="62">
        <f t="shared" si="0"/>
        <v>1.9951289161074346</v>
      </c>
    </row>
    <row r="9" spans="2:10" x14ac:dyDescent="0.45">
      <c r="B9" s="8" t="s">
        <v>56</v>
      </c>
      <c r="C9" s="6" t="s">
        <v>57</v>
      </c>
      <c r="D9" s="6">
        <v>0.99926999999999999</v>
      </c>
      <c r="E9" s="6">
        <v>5.0000000000000002E-5</v>
      </c>
      <c r="F9" s="12" t="s">
        <v>123</v>
      </c>
      <c r="G9" s="7">
        <v>0.99848000000000003</v>
      </c>
      <c r="H9" s="7">
        <v>4.0000000000000003E-5</v>
      </c>
      <c r="I9" s="12" t="s">
        <v>130</v>
      </c>
      <c r="J9" s="62">
        <f t="shared" si="0"/>
        <v>79.178062785284155</v>
      </c>
    </row>
    <row r="10" spans="2:10" x14ac:dyDescent="0.45">
      <c r="B10" s="8" t="s">
        <v>58</v>
      </c>
      <c r="C10" s="6" t="s">
        <v>57</v>
      </c>
      <c r="D10" s="6">
        <v>1.00362</v>
      </c>
      <c r="E10" s="6">
        <v>4.0000000000000003E-5</v>
      </c>
      <c r="F10" s="12" t="s">
        <v>124</v>
      </c>
      <c r="G10" s="9">
        <v>1.00335</v>
      </c>
      <c r="H10" s="9">
        <v>4.0000000000000003E-5</v>
      </c>
      <c r="I10" s="12" t="s">
        <v>131</v>
      </c>
      <c r="J10" s="62">
        <f t="shared" si="0"/>
        <v>26.812789697109739</v>
      </c>
    </row>
    <row r="11" spans="2:10" ht="15.75" thickBot="1" x14ac:dyDescent="0.5">
      <c r="B11" s="27" t="s">
        <v>58</v>
      </c>
      <c r="C11" s="28" t="s">
        <v>54</v>
      </c>
      <c r="D11" s="28">
        <v>1.0040500000000001</v>
      </c>
      <c r="E11" s="28">
        <v>4.0000000000000003E-5</v>
      </c>
      <c r="F11" s="29" t="s">
        <v>119</v>
      </c>
      <c r="G11" s="30">
        <v>1.0033000000000001</v>
      </c>
      <c r="H11" s="30">
        <v>5.0000000000000002E-5</v>
      </c>
      <c r="I11" s="29" t="s">
        <v>132</v>
      </c>
      <c r="J11" s="63">
        <f t="shared" si="0"/>
        <v>74.451784337028002</v>
      </c>
    </row>
  </sheetData>
  <mergeCells count="1">
    <mergeCell ref="B1:J2"/>
  </mergeCells>
  <pageMargins left="0.7" right="0.7" top="0.75" bottom="0.75" header="0.3" footer="0.3"/>
  <ignoredErrors>
    <ignoredError sqref="F4:F11 I4:I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B05E-3A3D-4D5C-8010-DF6840B43683}">
  <dimension ref="B1:I25"/>
  <sheetViews>
    <sheetView zoomScale="76" zoomScaleNormal="85" workbookViewId="0">
      <selection activeCell="J14" sqref="J14"/>
    </sheetView>
  </sheetViews>
  <sheetFormatPr defaultRowHeight="15.4" x14ac:dyDescent="0.45"/>
  <cols>
    <col min="1" max="1" width="2.86328125" style="10" customWidth="1"/>
    <col min="2" max="2" width="14.1328125" style="10" customWidth="1"/>
    <col min="3" max="3" width="14.3984375" style="10" customWidth="1"/>
    <col min="4" max="4" width="19.46484375" style="10" customWidth="1"/>
    <col min="5" max="5" width="9.3984375" style="10" customWidth="1"/>
    <col min="6" max="6" width="14.6640625" style="10" customWidth="1"/>
    <col min="7" max="7" width="15.19921875" style="10" customWidth="1"/>
    <col min="8" max="8" width="10.1328125" style="10" customWidth="1"/>
    <col min="9" max="9" width="17.59765625" style="10" customWidth="1"/>
    <col min="10" max="16384" width="9.06640625" style="10"/>
  </cols>
  <sheetData>
    <row r="1" spans="2:9" ht="13.5" customHeight="1" x14ac:dyDescent="0.45">
      <c r="B1" s="72" t="s">
        <v>166</v>
      </c>
      <c r="C1" s="72"/>
      <c r="D1" s="72"/>
      <c r="E1" s="72"/>
      <c r="F1" s="72"/>
      <c r="G1" s="72"/>
      <c r="H1" s="72"/>
      <c r="I1" s="72"/>
    </row>
    <row r="2" spans="2:9" ht="12.4" customHeight="1" thickBot="1" x14ac:dyDescent="0.5">
      <c r="B2" s="73"/>
      <c r="C2" s="73"/>
      <c r="D2" s="73"/>
      <c r="E2" s="73"/>
      <c r="F2" s="73"/>
      <c r="G2" s="73"/>
      <c r="H2" s="73"/>
      <c r="I2" s="73"/>
    </row>
    <row r="3" spans="2:9" ht="17.649999999999999" customHeight="1" x14ac:dyDescent="0.45">
      <c r="B3" s="79" t="s">
        <v>47</v>
      </c>
      <c r="C3" s="74" t="s">
        <v>165</v>
      </c>
      <c r="D3" s="75"/>
      <c r="E3" s="77" t="s">
        <v>78</v>
      </c>
      <c r="F3" s="75" t="s">
        <v>46</v>
      </c>
      <c r="G3" s="76"/>
      <c r="H3" s="77" t="s">
        <v>78</v>
      </c>
      <c r="I3" s="77" t="s">
        <v>48</v>
      </c>
    </row>
    <row r="4" spans="2:9" ht="14.25" customHeight="1" thickBot="1" x14ac:dyDescent="0.5">
      <c r="B4" s="80"/>
      <c r="C4" s="44" t="s">
        <v>3</v>
      </c>
      <c r="D4" s="45" t="s">
        <v>1</v>
      </c>
      <c r="E4" s="78"/>
      <c r="F4" s="45" t="s">
        <v>3</v>
      </c>
      <c r="G4" s="46" t="s">
        <v>1</v>
      </c>
      <c r="H4" s="78"/>
      <c r="I4" s="78"/>
    </row>
    <row r="5" spans="2:9" x14ac:dyDescent="0.45">
      <c r="B5" s="4">
        <v>300</v>
      </c>
      <c r="C5" s="2">
        <v>1.0178400000000001</v>
      </c>
      <c r="D5" s="7">
        <v>4.0000000000000003E-5</v>
      </c>
      <c r="E5" s="43" t="s">
        <v>80</v>
      </c>
      <c r="F5" s="1">
        <v>1.01834</v>
      </c>
      <c r="G5" s="3">
        <v>4.0000000000000003E-5</v>
      </c>
      <c r="H5" s="43" t="s">
        <v>85</v>
      </c>
      <c r="I5" s="5">
        <f>ABS((C5-F5)/(C5*F5))*100000</f>
        <v>48.238932343774472</v>
      </c>
    </row>
    <row r="6" spans="2:9" x14ac:dyDescent="0.45">
      <c r="B6" s="4">
        <v>500</v>
      </c>
      <c r="C6" s="2">
        <v>1.00414</v>
      </c>
      <c r="D6" s="7">
        <v>5.0000000000000002E-5</v>
      </c>
      <c r="E6" s="43" t="s">
        <v>81</v>
      </c>
      <c r="F6" s="1">
        <v>1.00084</v>
      </c>
      <c r="G6" s="3">
        <v>4.0000000000000003E-5</v>
      </c>
      <c r="H6" s="43" t="s">
        <v>87</v>
      </c>
      <c r="I6" s="5">
        <f>ABS((C6-F6)/(C6*F6))*100000</f>
        <v>328.36360731828222</v>
      </c>
    </row>
    <row r="7" spans="2:9" x14ac:dyDescent="0.45">
      <c r="B7" s="4">
        <v>550</v>
      </c>
      <c r="C7" s="2">
        <v>1.0007999999999999</v>
      </c>
      <c r="D7" s="7">
        <v>4.0000000000000003E-5</v>
      </c>
      <c r="E7" s="43" t="s">
        <v>82</v>
      </c>
      <c r="F7" s="1">
        <v>0.99911000000000005</v>
      </c>
      <c r="G7" s="3">
        <v>5.0000000000000002E-5</v>
      </c>
      <c r="H7" s="43" t="s">
        <v>89</v>
      </c>
      <c r="I7" s="5">
        <f>ABS((C7-F7)/(C7*F7))*100000</f>
        <v>169.0153317187567</v>
      </c>
    </row>
    <row r="8" spans="2:9" x14ac:dyDescent="0.45">
      <c r="B8" s="4">
        <v>566</v>
      </c>
      <c r="C8" s="2">
        <v>0.99982000000000004</v>
      </c>
      <c r="D8" s="7">
        <v>5.0000000000000002E-5</v>
      </c>
      <c r="E8" s="43" t="s">
        <v>83</v>
      </c>
      <c r="F8" s="1">
        <v>0.99911000000000005</v>
      </c>
      <c r="G8" s="3">
        <v>5.0000000000000002E-5</v>
      </c>
      <c r="H8" s="43" t="s">
        <v>91</v>
      </c>
      <c r="I8" s="5">
        <f>ABS((C8-F8)/(C8*F8))*100000</f>
        <v>71.076039976391968</v>
      </c>
    </row>
    <row r="9" spans="2:9" ht="15.75" thickBot="1" x14ac:dyDescent="0.5">
      <c r="B9" s="47">
        <v>600</v>
      </c>
      <c r="C9" s="48">
        <v>0.99758000000000002</v>
      </c>
      <c r="D9" s="30">
        <v>5.0000000000000002E-5</v>
      </c>
      <c r="E9" s="49" t="s">
        <v>84</v>
      </c>
      <c r="F9" s="22">
        <v>0.99763999999999997</v>
      </c>
      <c r="G9" s="50">
        <v>5.0000000000000002E-5</v>
      </c>
      <c r="H9" s="49" t="s">
        <v>93</v>
      </c>
      <c r="I9" s="51">
        <f>ABS((C9-F9)/(C9*F9))*100000</f>
        <v>6.0287831518745207</v>
      </c>
    </row>
    <row r="10" spans="2:9" x14ac:dyDescent="0.45">
      <c r="F10" s="1"/>
    </row>
    <row r="11" spans="2:9" x14ac:dyDescent="0.45">
      <c r="F11" s="1"/>
    </row>
    <row r="12" spans="2:9" x14ac:dyDescent="0.45">
      <c r="F12" s="1"/>
    </row>
    <row r="13" spans="2:9" x14ac:dyDescent="0.45">
      <c r="F13" s="1"/>
    </row>
    <row r="14" spans="2:9" x14ac:dyDescent="0.45">
      <c r="F14" s="1"/>
    </row>
    <row r="24" ht="19.899999999999999" customHeight="1" x14ac:dyDescent="0.45"/>
    <row r="25" ht="23.65" customHeight="1" x14ac:dyDescent="0.45"/>
  </sheetData>
  <mergeCells count="7">
    <mergeCell ref="B1:I2"/>
    <mergeCell ref="C3:D3"/>
    <mergeCell ref="F3:G3"/>
    <mergeCell ref="I3:I4"/>
    <mergeCell ref="B3:B4"/>
    <mergeCell ref="E3:E4"/>
    <mergeCell ref="H3:H4"/>
  </mergeCells>
  <pageMargins left="0.7" right="0.7" top="0.75" bottom="0.75" header="0.3" footer="0.3"/>
  <ignoredErrors>
    <ignoredError sqref="E5:E9 H7:H9 H5:H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0D6A-0A78-4D48-9E06-0EAD17218389}">
  <dimension ref="B2:F23"/>
  <sheetViews>
    <sheetView zoomScale="85" zoomScaleNormal="85" workbookViewId="0">
      <selection activeCell="J21" sqref="J21"/>
    </sheetView>
  </sheetViews>
  <sheetFormatPr defaultRowHeight="15.4" x14ac:dyDescent="0.45"/>
  <cols>
    <col min="1" max="1" width="2.3984375" style="10" customWidth="1"/>
    <col min="2" max="2" width="21.3984375" style="10" customWidth="1"/>
    <col min="3" max="3" width="22.796875" style="10" customWidth="1"/>
    <col min="4" max="4" width="15.19921875" style="10" customWidth="1"/>
    <col min="5" max="5" width="19.06640625" style="10" customWidth="1"/>
    <col min="6" max="16384" width="9.06640625" style="10"/>
  </cols>
  <sheetData>
    <row r="2" spans="2:6" ht="15.75" thickBot="1" x14ac:dyDescent="0.5">
      <c r="B2" s="83" t="s">
        <v>162</v>
      </c>
      <c r="C2" s="84"/>
      <c r="D2" s="84"/>
      <c r="E2" s="84"/>
      <c r="F2" s="85"/>
    </row>
    <row r="3" spans="2:6" ht="31.9" customHeight="1" x14ac:dyDescent="0.45">
      <c r="B3" s="81" t="s">
        <v>133</v>
      </c>
      <c r="C3" s="31" t="s">
        <v>134</v>
      </c>
      <c r="D3" s="31" t="s">
        <v>135</v>
      </c>
      <c r="E3" s="31" t="s">
        <v>163</v>
      </c>
      <c r="F3" s="34"/>
    </row>
    <row r="4" spans="2:6" ht="18.399999999999999" thickBot="1" x14ac:dyDescent="0.5">
      <c r="B4" s="82"/>
      <c r="C4" s="32" t="s">
        <v>164</v>
      </c>
      <c r="D4" s="32" t="s">
        <v>136</v>
      </c>
      <c r="E4" s="32" t="s">
        <v>137</v>
      </c>
      <c r="F4" s="35" t="s">
        <v>78</v>
      </c>
    </row>
    <row r="5" spans="2:6" ht="21.4" customHeight="1" x14ac:dyDescent="0.45">
      <c r="B5" s="36" t="s">
        <v>79</v>
      </c>
      <c r="C5" s="25" t="s">
        <v>138</v>
      </c>
      <c r="D5" s="25">
        <v>975</v>
      </c>
      <c r="E5" s="25" t="s">
        <v>0</v>
      </c>
      <c r="F5" s="37" t="s">
        <v>105</v>
      </c>
    </row>
    <row r="6" spans="2:6" ht="20.25" customHeight="1" x14ac:dyDescent="0.45">
      <c r="B6" s="36" t="s">
        <v>86</v>
      </c>
      <c r="C6" s="25" t="s">
        <v>139</v>
      </c>
      <c r="D6" s="25">
        <v>902</v>
      </c>
      <c r="E6" s="25">
        <v>158</v>
      </c>
      <c r="F6" s="38" t="s">
        <v>94</v>
      </c>
    </row>
    <row r="7" spans="2:6" ht="19.899999999999999" customHeight="1" x14ac:dyDescent="0.45">
      <c r="B7" s="36" t="s">
        <v>88</v>
      </c>
      <c r="C7" s="25" t="s">
        <v>140</v>
      </c>
      <c r="D7" s="25">
        <v>810</v>
      </c>
      <c r="E7" s="25">
        <v>74</v>
      </c>
      <c r="F7" s="38" t="s">
        <v>95</v>
      </c>
    </row>
    <row r="8" spans="2:6" ht="21" customHeight="1" x14ac:dyDescent="0.45">
      <c r="B8" s="36" t="s">
        <v>90</v>
      </c>
      <c r="C8" s="25" t="s">
        <v>141</v>
      </c>
      <c r="D8" s="25">
        <v>686</v>
      </c>
      <c r="E8" s="25">
        <v>-100</v>
      </c>
      <c r="F8" s="38" t="s">
        <v>96</v>
      </c>
    </row>
    <row r="9" spans="2:6" ht="33.4" customHeight="1" thickBot="1" x14ac:dyDescent="0.5">
      <c r="B9" s="39" t="s">
        <v>92</v>
      </c>
      <c r="C9" s="33" t="s">
        <v>142</v>
      </c>
      <c r="D9" s="33">
        <v>508</v>
      </c>
      <c r="E9" s="33">
        <v>-255</v>
      </c>
      <c r="F9" s="40" t="s">
        <v>97</v>
      </c>
    </row>
    <row r="10" spans="2:6" ht="19.5" customHeight="1" x14ac:dyDescent="0.45">
      <c r="B10" s="81" t="s">
        <v>143</v>
      </c>
      <c r="C10" s="31" t="s">
        <v>144</v>
      </c>
      <c r="D10" s="31" t="s">
        <v>146</v>
      </c>
      <c r="E10" s="31" t="s">
        <v>147</v>
      </c>
      <c r="F10" s="38"/>
    </row>
    <row r="11" spans="2:6" ht="19.149999999999999" customHeight="1" thickBot="1" x14ac:dyDescent="0.5">
      <c r="B11" s="82"/>
      <c r="C11" s="32" t="s">
        <v>145</v>
      </c>
      <c r="D11" s="32" t="s">
        <v>137</v>
      </c>
      <c r="E11" s="32" t="s">
        <v>137</v>
      </c>
      <c r="F11" s="40"/>
    </row>
    <row r="12" spans="2:6" x14ac:dyDescent="0.45">
      <c r="B12" s="36" t="s">
        <v>148</v>
      </c>
      <c r="C12" s="25" t="s">
        <v>149</v>
      </c>
      <c r="D12" s="25">
        <v>788</v>
      </c>
      <c r="E12" s="25">
        <v>-11</v>
      </c>
      <c r="F12" s="38" t="s">
        <v>98</v>
      </c>
    </row>
    <row r="13" spans="2:6" ht="23.65" customHeight="1" x14ac:dyDescent="0.45">
      <c r="B13" s="36" t="s">
        <v>150</v>
      </c>
      <c r="C13" s="25" t="s">
        <v>151</v>
      </c>
      <c r="D13" s="25">
        <v>1203</v>
      </c>
      <c r="E13" s="25">
        <v>42</v>
      </c>
      <c r="F13" s="38" t="s">
        <v>99</v>
      </c>
    </row>
    <row r="14" spans="2:6" ht="21.75" customHeight="1" x14ac:dyDescent="0.45">
      <c r="B14" s="36" t="s">
        <v>152</v>
      </c>
      <c r="C14" s="25" t="s">
        <v>153</v>
      </c>
      <c r="D14" s="25">
        <v>1171</v>
      </c>
      <c r="E14" s="25">
        <v>43</v>
      </c>
      <c r="F14" s="38" t="s">
        <v>100</v>
      </c>
    </row>
    <row r="15" spans="2:6" ht="23.65" customHeight="1" x14ac:dyDescent="0.45">
      <c r="B15" s="36" t="s">
        <v>154</v>
      </c>
      <c r="C15" s="25" t="s">
        <v>155</v>
      </c>
      <c r="D15" s="25">
        <v>548</v>
      </c>
      <c r="E15" s="25">
        <v>4</v>
      </c>
      <c r="F15" s="38" t="s">
        <v>101</v>
      </c>
    </row>
    <row r="16" spans="2:6" ht="28.5" customHeight="1" x14ac:dyDescent="0.45">
      <c r="B16" s="36" t="s">
        <v>156</v>
      </c>
      <c r="C16" s="25" t="s">
        <v>157</v>
      </c>
      <c r="D16" s="25">
        <v>471</v>
      </c>
      <c r="E16" s="25">
        <v>16</v>
      </c>
      <c r="F16" s="38" t="s">
        <v>102</v>
      </c>
    </row>
    <row r="17" spans="2:6" ht="29.65" customHeight="1" x14ac:dyDescent="0.45">
      <c r="B17" s="36" t="s">
        <v>158</v>
      </c>
      <c r="C17" s="25" t="s">
        <v>159</v>
      </c>
      <c r="D17" s="25">
        <v>772</v>
      </c>
      <c r="E17" s="25">
        <v>30</v>
      </c>
      <c r="F17" s="38" t="s">
        <v>103</v>
      </c>
    </row>
    <row r="18" spans="2:6" ht="37.9" customHeight="1" x14ac:dyDescent="0.45">
      <c r="B18" s="41" t="s">
        <v>160</v>
      </c>
      <c r="C18" s="26" t="s">
        <v>161</v>
      </c>
      <c r="D18" s="26">
        <v>1099</v>
      </c>
      <c r="E18" s="26">
        <v>24</v>
      </c>
      <c r="F18" s="42" t="s">
        <v>104</v>
      </c>
    </row>
    <row r="20" spans="2:6" ht="14.25" customHeight="1" x14ac:dyDescent="0.45">
      <c r="B20" s="72" t="s">
        <v>168</v>
      </c>
      <c r="C20" s="72"/>
      <c r="D20" s="72"/>
      <c r="E20" s="72"/>
      <c r="F20" s="72"/>
    </row>
    <row r="21" spans="2:6" ht="25.9" customHeight="1" x14ac:dyDescent="0.45">
      <c r="B21" s="72"/>
      <c r="C21" s="72"/>
      <c r="D21" s="72"/>
      <c r="E21" s="72"/>
      <c r="F21" s="72"/>
    </row>
    <row r="22" spans="2:6" x14ac:dyDescent="0.45">
      <c r="B22" s="86" t="s">
        <v>169</v>
      </c>
      <c r="C22" s="86"/>
      <c r="D22" s="86"/>
      <c r="E22" s="86"/>
      <c r="F22" s="86"/>
    </row>
    <row r="23" spans="2:6" ht="49.5" customHeight="1" x14ac:dyDescent="0.45">
      <c r="B23" s="86"/>
      <c r="C23" s="86"/>
      <c r="D23" s="86"/>
      <c r="E23" s="86"/>
      <c r="F23" s="86"/>
    </row>
  </sheetData>
  <mergeCells count="5">
    <mergeCell ref="B3:B4"/>
    <mergeCell ref="B10:B11"/>
    <mergeCell ref="B2:F2"/>
    <mergeCell ref="B20:F21"/>
    <mergeCell ref="B22:F23"/>
  </mergeCells>
  <pageMargins left="0.7" right="0.7" top="0.75" bottom="0.75" header="0.3" footer="0.3"/>
  <ignoredErrors>
    <ignoredError sqref="F5 F6:F9 F12:F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E4C2-78E8-415B-AB7D-098CE2E4955E}">
  <dimension ref="B1:J20"/>
  <sheetViews>
    <sheetView zoomScaleNormal="100" workbookViewId="0">
      <selection activeCell="D10" sqref="D10"/>
    </sheetView>
  </sheetViews>
  <sheetFormatPr defaultRowHeight="15.4" x14ac:dyDescent="0.45"/>
  <cols>
    <col min="1" max="1" width="3.06640625" style="10" customWidth="1"/>
    <col min="2" max="2" width="49.86328125" style="10" customWidth="1"/>
    <col min="3" max="3" width="55.46484375" style="10" customWidth="1"/>
    <col min="4" max="4" width="21.265625" style="10" customWidth="1"/>
    <col min="5" max="5" width="26.59765625" style="10" customWidth="1"/>
    <col min="6" max="7" width="9.06640625" style="10"/>
    <col min="8" max="9" width="20.1328125" style="10" customWidth="1"/>
    <col min="10" max="10" width="13.73046875" style="10" customWidth="1"/>
    <col min="11" max="16384" width="9.06640625" style="10"/>
  </cols>
  <sheetData>
    <row r="1" spans="2:10" ht="15.75" thickBot="1" x14ac:dyDescent="0.5">
      <c r="B1" s="87" t="s">
        <v>170</v>
      </c>
      <c r="C1" s="87"/>
    </row>
    <row r="2" spans="2:10" ht="16.149999999999999" thickTop="1" thickBot="1" x14ac:dyDescent="0.5">
      <c r="B2" s="64" t="s">
        <v>15</v>
      </c>
      <c r="C2" s="64" t="s">
        <v>16</v>
      </c>
      <c r="I2" s="11"/>
      <c r="J2" s="11"/>
    </row>
    <row r="3" spans="2:10" ht="16.149999999999999" thickTop="1" thickBot="1" x14ac:dyDescent="0.5">
      <c r="B3" s="65" t="s">
        <v>62</v>
      </c>
      <c r="C3" s="65" t="s">
        <v>25</v>
      </c>
      <c r="I3" s="11"/>
      <c r="J3" s="11"/>
    </row>
    <row r="4" spans="2:10" ht="15.75" thickBot="1" x14ac:dyDescent="0.5">
      <c r="B4" s="65" t="s">
        <v>17</v>
      </c>
      <c r="C4" s="65" t="s">
        <v>18</v>
      </c>
      <c r="I4" s="11"/>
      <c r="J4" s="11"/>
    </row>
    <row r="5" spans="2:10" ht="31.15" thickBot="1" x14ac:dyDescent="0.5">
      <c r="B5" s="65" t="s">
        <v>63</v>
      </c>
      <c r="C5" s="65" t="s">
        <v>64</v>
      </c>
      <c r="I5" s="66"/>
      <c r="J5" s="11"/>
    </row>
    <row r="6" spans="2:10" ht="46.5" thickBot="1" x14ac:dyDescent="0.5">
      <c r="B6" s="65" t="s">
        <v>65</v>
      </c>
      <c r="C6" s="65" t="s">
        <v>66</v>
      </c>
      <c r="I6" s="66"/>
      <c r="J6" s="11"/>
    </row>
    <row r="7" spans="2:10" ht="31.15" thickBot="1" x14ac:dyDescent="0.5">
      <c r="B7" s="65" t="s">
        <v>26</v>
      </c>
      <c r="C7" s="65" t="s">
        <v>67</v>
      </c>
      <c r="I7" s="66"/>
      <c r="J7" s="11"/>
    </row>
    <row r="8" spans="2:10" ht="15.75" thickBot="1" x14ac:dyDescent="0.5">
      <c r="B8" s="65" t="s">
        <v>27</v>
      </c>
      <c r="C8" s="65" t="s">
        <v>68</v>
      </c>
      <c r="I8" s="67"/>
      <c r="J8" s="9"/>
    </row>
    <row r="9" spans="2:10" ht="15.75" thickBot="1" x14ac:dyDescent="0.5">
      <c r="B9" s="65" t="s">
        <v>69</v>
      </c>
      <c r="C9" s="65" t="s">
        <v>70</v>
      </c>
      <c r="I9" s="67"/>
      <c r="J9" s="9"/>
    </row>
    <row r="10" spans="2:10" ht="15.75" thickBot="1" x14ac:dyDescent="0.5">
      <c r="B10" s="68" t="s">
        <v>19</v>
      </c>
      <c r="C10" s="68" t="s">
        <v>20</v>
      </c>
    </row>
    <row r="11" spans="2:10" ht="15.75" thickBot="1" x14ac:dyDescent="0.5">
      <c r="B11" s="65"/>
      <c r="C11" s="65" t="s">
        <v>21</v>
      </c>
    </row>
    <row r="12" spans="2:10" ht="15.75" thickBot="1" x14ac:dyDescent="0.5">
      <c r="B12" s="65"/>
      <c r="C12" s="65" t="s">
        <v>22</v>
      </c>
    </row>
    <row r="13" spans="2:10" ht="31.15" thickBot="1" x14ac:dyDescent="0.5">
      <c r="B13" s="65" t="s">
        <v>71</v>
      </c>
      <c r="C13" s="65" t="s">
        <v>23</v>
      </c>
    </row>
    <row r="14" spans="2:10" ht="15.75" thickBot="1" x14ac:dyDescent="0.5">
      <c r="B14" s="65"/>
      <c r="C14" s="65" t="s">
        <v>24</v>
      </c>
    </row>
    <row r="15" spans="2:10" ht="31.15" thickBot="1" x14ac:dyDescent="0.5">
      <c r="B15" s="65"/>
      <c r="C15" s="65" t="s">
        <v>72</v>
      </c>
    </row>
    <row r="16" spans="2:10" ht="15.75" thickBot="1" x14ac:dyDescent="0.5">
      <c r="B16" s="65"/>
      <c r="C16" s="65" t="s">
        <v>73</v>
      </c>
    </row>
    <row r="17" spans="2:3" ht="15.75" thickBot="1" x14ac:dyDescent="0.5">
      <c r="B17" s="65"/>
      <c r="C17" s="65" t="s">
        <v>74</v>
      </c>
    </row>
    <row r="18" spans="2:3" ht="15.75" thickBot="1" x14ac:dyDescent="0.5">
      <c r="B18" s="65" t="s">
        <v>75</v>
      </c>
      <c r="C18" s="65" t="s">
        <v>28</v>
      </c>
    </row>
    <row r="19" spans="2:3" ht="15.75" thickBot="1" x14ac:dyDescent="0.5">
      <c r="B19" s="69" t="s">
        <v>76</v>
      </c>
      <c r="C19" s="69" t="s">
        <v>77</v>
      </c>
    </row>
    <row r="20" spans="2:3" ht="15.75" thickTop="1" x14ac:dyDescent="0.45"/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c5ce46-1eff-4722-9338-521a83f77ace">
      <Terms xmlns="http://schemas.microsoft.com/office/infopath/2007/PartnerControls"/>
    </lcf76f155ced4ddcb4097134ff3c332f>
    <TaxCatchAll xmlns="9c986f3e-8d52-4427-b7fb-dc0c338472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7DD7777E46749B66B21F0DDA2F572" ma:contentTypeVersion="11" ma:contentTypeDescription="Create a new document." ma:contentTypeScope="" ma:versionID="561d99487fa99a1c0246e4ad6cbcf96c">
  <xsd:schema xmlns:xsd="http://www.w3.org/2001/XMLSchema" xmlns:xs="http://www.w3.org/2001/XMLSchema" xmlns:p="http://schemas.microsoft.com/office/2006/metadata/properties" xmlns:ns2="5bc5ce46-1eff-4722-9338-521a83f77ace" xmlns:ns3="9c986f3e-8d52-4427-b7fb-dc0c33847236" targetNamespace="http://schemas.microsoft.com/office/2006/metadata/properties" ma:root="true" ma:fieldsID="570789d1265cbfc0dea09db158f54b32" ns2:_="" ns3:_="">
    <xsd:import namespace="5bc5ce46-1eff-4722-9338-521a83f77ace"/>
    <xsd:import namespace="9c986f3e-8d52-4427-b7fb-dc0c338472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5ce46-1eff-4722-9338-521a83f77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92c282-ceba-42ac-8ce1-c7c398cdd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86f3e-8d52-4427-b7fb-dc0c338472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739576-7525-4b83-9908-946edd389d38}" ma:internalName="TaxCatchAll" ma:showField="CatchAllData" ma:web="9c986f3e-8d52-4427-b7fb-dc0c338472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B21E9-79D9-4232-98BC-1CF30C674B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68851-74F3-4BDD-9A74-EDA4DDD8D405}">
  <ds:schemaRefs>
    <ds:schemaRef ds:uri="http://purl.org/dc/elements/1.1/"/>
    <ds:schemaRef ds:uri="9c986f3e-8d52-4427-b7fb-dc0c33847236"/>
    <ds:schemaRef ds:uri="http://schemas.microsoft.com/office/2006/metadata/properties"/>
    <ds:schemaRef ds:uri="http://schemas.microsoft.com/office/2006/documentManagement/types"/>
    <ds:schemaRef ds:uri="http://purl.org/dc/terms/"/>
    <ds:schemaRef ds:uri="5bc5ce46-1eff-4722-9338-521a83f77ace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CFE96B-69B4-42E7-868E-21D08B40B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c5ce46-1eff-4722-9338-521a83f77ace"/>
    <ds:schemaRef ds:uri="9c986f3e-8d52-4427-b7fb-dc0c338472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I</vt:lpstr>
      <vt:lpstr>Table II</vt:lpstr>
      <vt:lpstr>Table III</vt:lpstr>
      <vt:lpstr>Figure 1</vt:lpstr>
      <vt:lpstr>Table IV</vt:lpstr>
      <vt:lpstr>Appendix A (Changes to BEAVRS)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Bailey Oteri (Student)</cp:lastModifiedBy>
  <cp:revision/>
  <dcterms:created xsi:type="dcterms:W3CDTF">2025-08-22T17:21:46Z</dcterms:created>
  <dcterms:modified xsi:type="dcterms:W3CDTF">2025-10-09T17:14:02Z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0x0101002A07DD7777E46749B66B21F0DDA2F572</vt:lpwstr>
  </property>
  <property fmtid="{D5CDD505-2E9C-101B-9397-08002B2CF9AE}" pid="3" name="MediaServiceImageTags">
    <vt:lpwstr/>
  </property>
</Properties>
</file>