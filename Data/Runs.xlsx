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s0-my.sharepoint.com/personal/boteri_mines_edu/Documents/Documents/Research/BEAVRS/NSE_Journal_Paper/GitHub/"/>
    </mc:Choice>
  </mc:AlternateContent>
  <xr:revisionPtr revIDLastSave="131" documentId="8_{97B2A4F7-830A-4310-91E1-BC33D32D38CD}" xr6:coauthVersionLast="47" xr6:coauthVersionMax="47" xr10:uidLastSave="{C60374A9-466C-48E5-B2FC-F403E95339B8}"/>
  <bookViews>
    <workbookView xWindow="-98" yWindow="-98" windowWidth="21795" windowHeight="11625" activeTab="1" xr2:uid="{D2F7FC5A-D873-4533-88DA-CB880282820B}"/>
  </bookViews>
  <sheets>
    <sheet name="PHYSOR" sheetId="1" r:id="rId1"/>
    <sheet name="N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2" l="1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tc={3C28DD43-3748-4023-8BD3-9C61523F6D36}</author>
  </authors>
  <commentList>
    <comment ref="L15" authorId="0" shapeId="0" xr:uid="{3C28DD43-3748-4023-8BD3-9C61523F6D3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script used to build xs lib to github!</t>
      </text>
    </comment>
  </commentList>
</comments>
</file>

<file path=xl/sharedStrings.xml><?xml version="1.0" encoding="utf-8"?>
<sst xmlns="http://schemas.openxmlformats.org/spreadsheetml/2006/main" count="641" uniqueCount="68">
  <si>
    <t>Run number</t>
  </si>
  <si>
    <t>BEAVRS version</t>
  </si>
  <si>
    <t>OpenMC Version</t>
  </si>
  <si>
    <t>Cross Section Library</t>
  </si>
  <si>
    <t>Rod Configuration</t>
  </si>
  <si>
    <t>Boron Concentration [ppm]</t>
  </si>
  <si>
    <t>Temperature</t>
  </si>
  <si>
    <t>Temperature Method</t>
  </si>
  <si>
    <t>keff</t>
  </si>
  <si>
    <t>Uncertainty</t>
  </si>
  <si>
    <t>Tables where data used</t>
  </si>
  <si>
    <t>Additional Notes</t>
  </si>
  <si>
    <t>3.0.2 (8/2025)</t>
  </si>
  <si>
    <t>0.15.2</t>
  </si>
  <si>
    <t>ARO</t>
  </si>
  <si>
    <t>Interpolation</t>
  </si>
  <si>
    <t>Table I, Table II, Table III, Table IV</t>
  </si>
  <si>
    <t>3.0.1</t>
  </si>
  <si>
    <t>0.12.0</t>
  </si>
  <si>
    <t xml:space="preserve">Table I </t>
  </si>
  <si>
    <t>3.0.0</t>
  </si>
  <si>
    <t>0.10.0</t>
  </si>
  <si>
    <t>2.0.2</t>
  </si>
  <si>
    <t>0.9.0</t>
  </si>
  <si>
    <t>0.15.0</t>
  </si>
  <si>
    <t>Table II</t>
  </si>
  <si>
    <t>Run using XML files from run001</t>
  </si>
  <si>
    <t>0.14.0</t>
  </si>
  <si>
    <t>0.13.0</t>
  </si>
  <si>
    <t>0.11.0</t>
  </si>
  <si>
    <t>Run using XML files from run001 - Cross section library manually built due to change in OpenMC's HDF5 library format starting at v0.11.0</t>
  </si>
  <si>
    <t>Table III</t>
  </si>
  <si>
    <t>Offical JEFF 3.3</t>
  </si>
  <si>
    <t>Other JEFF 3.2</t>
  </si>
  <si>
    <t xml:space="preserve">Other Jeff 3.3 </t>
  </si>
  <si>
    <t>Remove thermal scattering library (H2O)</t>
  </si>
  <si>
    <t>NEA JEFF 3.2</t>
  </si>
  <si>
    <t>NEA JEFF 3.3</t>
  </si>
  <si>
    <t>JEFF 3.3</t>
  </si>
  <si>
    <t>Figure 1</t>
  </si>
  <si>
    <t>Nearest</t>
  </si>
  <si>
    <t>D in</t>
  </si>
  <si>
    <t>Table IV</t>
  </si>
  <si>
    <t>C, D in</t>
  </si>
  <si>
    <t>A, B, C, D in</t>
  </si>
  <si>
    <t>A, B, C, D, SE, SD, SC in</t>
  </si>
  <si>
    <t>B, C, D in</t>
  </si>
  <si>
    <t>A, B, C, D, SE in</t>
  </si>
  <si>
    <t>A, B, C, D, SE, SD in</t>
  </si>
  <si>
    <t>Run at 300 K with TSL for H2O included - Test to see if at 300 K when TSL is introduced if keff goes up or down to compare with resutls from run at 566 K and paper publication about TSL</t>
  </si>
  <si>
    <t>Run at 300 K with TSL for H2O removed - Test to see if at 300 K when TSL is introduced if keff goes up or down to compare with resutls from run at 566 K and paper publication about TSL</t>
  </si>
  <si>
    <t>Below is a table of ALL simulations done for the BEAVRS Benchmark paper "A Systematic Re-evaluation of the BEAVRS Benchmark with OpenMC"</t>
  </si>
  <si>
    <t>All simulations done with seed set to 140211718 and particle settings set to 350 batches, 250 inactive, and 4E6 particles</t>
  </si>
  <si>
    <t>LANL ENDF/B-VII.1</t>
  </si>
  <si>
    <t>Offical ENDF/B-VIII.0</t>
  </si>
  <si>
    <t>LANL ENDF/B-VII.0</t>
  </si>
  <si>
    <t>LANL ENDF/B-VIII.0</t>
  </si>
  <si>
    <t>Offical ENDF/B-VII.1</t>
  </si>
  <si>
    <t>ENDF/B-VII.1</t>
  </si>
  <si>
    <t>ENDF/B-VIII.0</t>
  </si>
  <si>
    <t>ENDF/B-VIII.1</t>
  </si>
  <si>
    <t>LANL ENDF/B-VIII.1</t>
  </si>
  <si>
    <t>Remove TSL from h in H2O</t>
  </si>
  <si>
    <t>Table II &amp; Table III &amp; Figure 3</t>
  </si>
  <si>
    <t>Table II &amp; Figure 3</t>
  </si>
  <si>
    <t>Figure 3</t>
  </si>
  <si>
    <t>Figure 4</t>
  </si>
  <si>
    <t xml:space="preserve">Below is a table of all additional simulations done for the BEAVRS Benchmark paper "Uncertainty Analysis and Re-evaluation of BEAVRS Benchmark with OpenMC and ENDF/B-VIII.1" that were not in the PHYSOR paper.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</si>
</sst>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iley Oteri (Student)" id="{35647CFF-E5DF-4ED0-A4B3-6FAABCE94E6C}" userId="S::boteri@mines.edu::d5f7b52d-e861-41e1-9aab-94bbc26d1f4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5" dT="2025-10-02T20:10:02.25" personId="{35647CFF-E5DF-4ED0-A4B3-6FAABCE94E6C}" id="{3C28DD43-3748-4023-8BD3-9C61523F6D36}">
    <text>Add script used to build xs lib to github!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813E-4BEF-43A2-BDE2-CEA2A319EBEF}">
  <dimension ref="A1:T55"/>
  <sheetViews>
    <sheetView topLeftCell="A2" zoomScale="54" zoomScaleNormal="100" workbookViewId="0">
      <selection activeCell="B14" sqref="B14"/>
    </sheetView>
  </sheetViews>
  <sheetFormatPr defaultRowHeight="14.25" x14ac:dyDescent="0.45"/>
  <cols>
    <col min="1" max="1" width="11.33203125" customWidth="1"/>
    <col min="2" max="2" width="14.19921875" customWidth="1"/>
    <col min="3" max="3" width="10.53125" customWidth="1"/>
    <col min="4" max="4" width="21.06640625" customWidth="1"/>
    <col min="5" max="5" width="13.265625" customWidth="1"/>
    <col min="6" max="6" width="14.46484375" customWidth="1"/>
    <col min="7" max="7" width="13.9296875" customWidth="1"/>
    <col min="8" max="8" width="13.33203125" customWidth="1"/>
    <col min="9" max="9" width="10.265625" customWidth="1"/>
    <col min="10" max="10" width="13.06640625" customWidth="1"/>
    <col min="11" max="11" width="18.9296875" customWidth="1"/>
    <col min="12" max="12" width="104.73046875" customWidth="1"/>
  </cols>
  <sheetData>
    <row r="1" spans="1:15" x14ac:dyDescent="0.45">
      <c r="A1" t="s">
        <v>51</v>
      </c>
    </row>
    <row r="2" spans="1:15" x14ac:dyDescent="0.45">
      <c r="A2" t="s">
        <v>52</v>
      </c>
    </row>
    <row r="4" spans="1:15" s="11" customFormat="1" ht="47.25" x14ac:dyDescent="0.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2" t="s">
        <v>11</v>
      </c>
    </row>
    <row r="5" spans="1:15" ht="31.15" x14ac:dyDescent="0.5">
      <c r="A5" s="3" t="str">
        <f>TEXT(ROW()-4, "000")</f>
        <v>001</v>
      </c>
      <c r="B5" s="3" t="s">
        <v>12</v>
      </c>
      <c r="C5" s="3" t="s">
        <v>13</v>
      </c>
      <c r="D5" s="3" t="s">
        <v>53</v>
      </c>
      <c r="E5" s="3" t="s">
        <v>14</v>
      </c>
      <c r="F5" s="4">
        <v>975</v>
      </c>
      <c r="G5" s="4">
        <v>566</v>
      </c>
      <c r="H5" s="4" t="s">
        <v>15</v>
      </c>
      <c r="I5" s="4">
        <v>0.99970999999999999</v>
      </c>
      <c r="J5" s="4">
        <v>4.0000000000000003E-5</v>
      </c>
      <c r="K5" s="3" t="s">
        <v>16</v>
      </c>
      <c r="L5" s="5"/>
      <c r="M5" s="10"/>
      <c r="N5" s="10"/>
      <c r="O5" s="10"/>
    </row>
    <row r="6" spans="1:15" ht="15.75" x14ac:dyDescent="0.5">
      <c r="A6" s="3" t="str">
        <f t="shared" ref="A6:A55" si="0">TEXT(ROW()-4, "000")</f>
        <v>002</v>
      </c>
      <c r="B6" s="3" t="s">
        <v>17</v>
      </c>
      <c r="C6" s="3" t="s">
        <v>18</v>
      </c>
      <c r="D6" s="3" t="s">
        <v>53</v>
      </c>
      <c r="E6" s="3" t="s">
        <v>14</v>
      </c>
      <c r="F6" s="4">
        <v>975</v>
      </c>
      <c r="G6" s="4">
        <v>566</v>
      </c>
      <c r="H6" s="4" t="s">
        <v>15</v>
      </c>
      <c r="I6" s="6">
        <v>0.99973000000000001</v>
      </c>
      <c r="J6" s="7">
        <v>5.0000000000000002E-5</v>
      </c>
      <c r="K6" s="4" t="s">
        <v>19</v>
      </c>
      <c r="L6" s="5"/>
      <c r="M6" s="10"/>
      <c r="N6" s="10"/>
      <c r="O6" s="10"/>
    </row>
    <row r="7" spans="1:15" ht="15.75" x14ac:dyDescent="0.5">
      <c r="A7" s="3" t="str">
        <f t="shared" si="0"/>
        <v>003</v>
      </c>
      <c r="B7" s="3" t="s">
        <v>20</v>
      </c>
      <c r="C7" s="3" t="s">
        <v>21</v>
      </c>
      <c r="D7" s="3" t="s">
        <v>53</v>
      </c>
      <c r="E7" s="3" t="s">
        <v>14</v>
      </c>
      <c r="F7" s="4">
        <v>975</v>
      </c>
      <c r="G7" s="4">
        <v>566</v>
      </c>
      <c r="H7" s="4" t="s">
        <v>15</v>
      </c>
      <c r="I7" s="6">
        <v>1.00004</v>
      </c>
      <c r="J7" s="7">
        <v>4.0000000000000003E-5</v>
      </c>
      <c r="K7" s="4" t="s">
        <v>19</v>
      </c>
      <c r="L7" s="5"/>
      <c r="M7" s="10"/>
      <c r="N7" s="10"/>
      <c r="O7" s="10"/>
    </row>
    <row r="8" spans="1:15" ht="15.75" x14ac:dyDescent="0.5">
      <c r="A8" s="3" t="str">
        <f t="shared" si="0"/>
        <v>004</v>
      </c>
      <c r="B8" s="3" t="s">
        <v>22</v>
      </c>
      <c r="C8" s="3" t="s">
        <v>23</v>
      </c>
      <c r="D8" s="3" t="s">
        <v>53</v>
      </c>
      <c r="E8" s="3" t="s">
        <v>14</v>
      </c>
      <c r="F8" s="4">
        <v>975</v>
      </c>
      <c r="G8" s="4">
        <v>566</v>
      </c>
      <c r="H8" s="4" t="s">
        <v>15</v>
      </c>
      <c r="I8" s="6">
        <v>1.0004599999999999</v>
      </c>
      <c r="J8" s="7">
        <v>5.0000000000000002E-5</v>
      </c>
      <c r="K8" s="4" t="s">
        <v>19</v>
      </c>
      <c r="L8" s="5"/>
      <c r="M8" s="10"/>
      <c r="N8" s="10"/>
      <c r="O8" s="10"/>
    </row>
    <row r="9" spans="1:15" ht="15.75" x14ac:dyDescent="0.5">
      <c r="A9" s="3" t="str">
        <f t="shared" si="0"/>
        <v>005</v>
      </c>
      <c r="B9" s="3" t="s">
        <v>12</v>
      </c>
      <c r="C9" s="3" t="s">
        <v>24</v>
      </c>
      <c r="D9" s="3" t="s">
        <v>53</v>
      </c>
      <c r="E9" s="3" t="s">
        <v>14</v>
      </c>
      <c r="F9" s="4">
        <v>975</v>
      </c>
      <c r="G9" s="4">
        <v>566</v>
      </c>
      <c r="H9" s="4" t="s">
        <v>15</v>
      </c>
      <c r="I9" s="6">
        <v>0.99970999999999999</v>
      </c>
      <c r="J9" s="7">
        <v>4.0000000000000003E-5</v>
      </c>
      <c r="K9" s="4" t="s">
        <v>25</v>
      </c>
      <c r="L9" s="8" t="s">
        <v>26</v>
      </c>
      <c r="M9" s="10"/>
      <c r="N9" s="10"/>
      <c r="O9" s="10"/>
    </row>
    <row r="10" spans="1:15" ht="15.75" x14ac:dyDescent="0.5">
      <c r="A10" s="3" t="str">
        <f t="shared" si="0"/>
        <v>006</v>
      </c>
      <c r="B10" s="3" t="s">
        <v>12</v>
      </c>
      <c r="C10" s="3" t="s">
        <v>27</v>
      </c>
      <c r="D10" s="3" t="s">
        <v>53</v>
      </c>
      <c r="E10" s="3" t="s">
        <v>14</v>
      </c>
      <c r="F10" s="4">
        <v>975</v>
      </c>
      <c r="G10" s="4">
        <v>566</v>
      </c>
      <c r="H10" s="4" t="s">
        <v>15</v>
      </c>
      <c r="I10" s="6">
        <v>0.99970999999999999</v>
      </c>
      <c r="J10" s="7">
        <v>4.0000000000000003E-5</v>
      </c>
      <c r="K10" s="4" t="s">
        <v>25</v>
      </c>
      <c r="L10" s="8" t="s">
        <v>26</v>
      </c>
      <c r="M10" s="10"/>
      <c r="N10" s="10"/>
      <c r="O10" s="10"/>
    </row>
    <row r="11" spans="1:15" ht="15.75" x14ac:dyDescent="0.5">
      <c r="A11" s="3" t="str">
        <f t="shared" si="0"/>
        <v>007</v>
      </c>
      <c r="B11" s="3" t="s">
        <v>12</v>
      </c>
      <c r="C11" s="3" t="s">
        <v>28</v>
      </c>
      <c r="D11" s="3" t="s">
        <v>53</v>
      </c>
      <c r="E11" s="3" t="s">
        <v>14</v>
      </c>
      <c r="F11" s="4">
        <v>975</v>
      </c>
      <c r="G11" s="4">
        <v>566</v>
      </c>
      <c r="H11" s="4" t="s">
        <v>15</v>
      </c>
      <c r="I11" s="6">
        <v>0.99972000000000005</v>
      </c>
      <c r="J11" s="7">
        <v>4.0000000000000003E-5</v>
      </c>
      <c r="K11" s="4" t="s">
        <v>25</v>
      </c>
      <c r="L11" s="8" t="s">
        <v>26</v>
      </c>
      <c r="M11" s="10"/>
      <c r="N11" s="10"/>
      <c r="O11" s="10"/>
    </row>
    <row r="12" spans="1:15" ht="15.75" x14ac:dyDescent="0.5">
      <c r="A12" s="3" t="str">
        <f t="shared" si="0"/>
        <v>008</v>
      </c>
      <c r="B12" s="3" t="s">
        <v>12</v>
      </c>
      <c r="C12" s="3" t="s">
        <v>18</v>
      </c>
      <c r="D12" s="3" t="s">
        <v>53</v>
      </c>
      <c r="E12" s="3" t="s">
        <v>14</v>
      </c>
      <c r="F12" s="4">
        <v>975</v>
      </c>
      <c r="G12" s="4">
        <v>566</v>
      </c>
      <c r="H12" s="4" t="s">
        <v>15</v>
      </c>
      <c r="I12" s="6">
        <v>0.99968000000000001</v>
      </c>
      <c r="J12" s="7">
        <v>4.0000000000000003E-5</v>
      </c>
      <c r="K12" s="4" t="s">
        <v>25</v>
      </c>
      <c r="L12" s="8" t="s">
        <v>26</v>
      </c>
      <c r="M12" s="10"/>
      <c r="N12" s="10"/>
      <c r="O12" s="10"/>
    </row>
    <row r="13" spans="1:15" ht="15.75" x14ac:dyDescent="0.5">
      <c r="A13" s="3" t="str">
        <f t="shared" si="0"/>
        <v>009</v>
      </c>
      <c r="B13" s="3" t="s">
        <v>12</v>
      </c>
      <c r="C13" s="3" t="s">
        <v>29</v>
      </c>
      <c r="D13" s="3" t="s">
        <v>53</v>
      </c>
      <c r="E13" s="3" t="s">
        <v>14</v>
      </c>
      <c r="F13" s="4">
        <v>975</v>
      </c>
      <c r="G13" s="4">
        <v>566</v>
      </c>
      <c r="H13" s="4" t="s">
        <v>15</v>
      </c>
      <c r="I13" s="6">
        <v>0.99977000000000005</v>
      </c>
      <c r="J13" s="7">
        <v>4.0000000000000003E-5</v>
      </c>
      <c r="K13" s="4" t="s">
        <v>25</v>
      </c>
      <c r="L13" s="8" t="s">
        <v>26</v>
      </c>
      <c r="M13" s="10"/>
      <c r="N13" s="10"/>
      <c r="O13" s="10"/>
    </row>
    <row r="14" spans="1:15" ht="31.15" x14ac:dyDescent="0.5">
      <c r="A14" s="3" t="str">
        <f t="shared" si="0"/>
        <v>010</v>
      </c>
      <c r="B14" s="3" t="s">
        <v>12</v>
      </c>
      <c r="C14" s="3" t="s">
        <v>21</v>
      </c>
      <c r="D14" s="3" t="s">
        <v>53</v>
      </c>
      <c r="E14" s="3" t="s">
        <v>14</v>
      </c>
      <c r="F14" s="4">
        <v>975</v>
      </c>
      <c r="G14" s="4">
        <v>566</v>
      </c>
      <c r="H14" s="4" t="s">
        <v>15</v>
      </c>
      <c r="I14" s="6">
        <v>0.99988999999999995</v>
      </c>
      <c r="J14" s="7">
        <v>5.0000000000000002E-5</v>
      </c>
      <c r="K14" s="4" t="s">
        <v>25</v>
      </c>
      <c r="L14" s="9" t="s">
        <v>30</v>
      </c>
      <c r="M14" s="10"/>
      <c r="N14" s="10"/>
      <c r="O14" s="10"/>
    </row>
    <row r="15" spans="1:15" ht="31.15" x14ac:dyDescent="0.5">
      <c r="A15" s="3" t="str">
        <f t="shared" si="0"/>
        <v>011</v>
      </c>
      <c r="B15" s="3" t="s">
        <v>12</v>
      </c>
      <c r="C15" s="3" t="s">
        <v>23</v>
      </c>
      <c r="D15" s="3" t="s">
        <v>53</v>
      </c>
      <c r="E15" s="3" t="s">
        <v>14</v>
      </c>
      <c r="F15" s="4">
        <v>975</v>
      </c>
      <c r="G15" s="4">
        <v>566</v>
      </c>
      <c r="H15" s="4" t="s">
        <v>15</v>
      </c>
      <c r="I15" s="6">
        <v>1.0000100000000001</v>
      </c>
      <c r="J15" s="7">
        <v>4.0000000000000003E-5</v>
      </c>
      <c r="K15" s="4" t="s">
        <v>25</v>
      </c>
      <c r="L15" s="9" t="s">
        <v>30</v>
      </c>
      <c r="M15" s="10"/>
      <c r="N15" s="10"/>
      <c r="O15" s="10"/>
    </row>
    <row r="16" spans="1:15" ht="15.75" x14ac:dyDescent="0.5">
      <c r="A16" s="3" t="str">
        <f t="shared" si="0"/>
        <v>012</v>
      </c>
      <c r="B16" s="3" t="s">
        <v>12</v>
      </c>
      <c r="C16" s="3" t="s">
        <v>13</v>
      </c>
      <c r="D16" s="3" t="s">
        <v>55</v>
      </c>
      <c r="E16" s="3" t="s">
        <v>14</v>
      </c>
      <c r="F16" s="4">
        <v>975</v>
      </c>
      <c r="G16" s="4">
        <v>566</v>
      </c>
      <c r="H16" s="4" t="s">
        <v>15</v>
      </c>
      <c r="I16" s="6">
        <v>1.0000800000000001</v>
      </c>
      <c r="J16" s="7">
        <v>5.0000000000000002E-5</v>
      </c>
      <c r="K16" s="4" t="s">
        <v>31</v>
      </c>
      <c r="L16" s="8"/>
      <c r="M16" s="10"/>
      <c r="N16" s="10"/>
      <c r="O16" s="10"/>
    </row>
    <row r="17" spans="1:20" ht="15.75" x14ac:dyDescent="0.5">
      <c r="A17" s="3" t="str">
        <f t="shared" si="0"/>
        <v>013</v>
      </c>
      <c r="B17" s="3" t="s">
        <v>12</v>
      </c>
      <c r="C17" s="3" t="s">
        <v>13</v>
      </c>
      <c r="D17" s="3" t="s">
        <v>56</v>
      </c>
      <c r="E17" s="3" t="s">
        <v>14</v>
      </c>
      <c r="F17" s="4">
        <v>975</v>
      </c>
      <c r="G17" s="4">
        <v>566</v>
      </c>
      <c r="H17" s="4" t="s">
        <v>15</v>
      </c>
      <c r="I17" s="6">
        <v>1.00129</v>
      </c>
      <c r="J17" s="7">
        <v>5.0000000000000002E-5</v>
      </c>
      <c r="K17" s="4" t="s">
        <v>31</v>
      </c>
      <c r="L17" s="5"/>
      <c r="M17" s="10"/>
      <c r="N17" s="10"/>
      <c r="O17" s="10"/>
    </row>
    <row r="18" spans="1:20" ht="15.75" x14ac:dyDescent="0.5">
      <c r="A18" s="3" t="str">
        <f t="shared" si="0"/>
        <v>014</v>
      </c>
      <c r="B18" s="3" t="s">
        <v>12</v>
      </c>
      <c r="C18" s="3" t="s">
        <v>13</v>
      </c>
      <c r="D18" s="3" t="s">
        <v>57</v>
      </c>
      <c r="E18" s="3" t="s">
        <v>14</v>
      </c>
      <c r="F18" s="4">
        <v>975</v>
      </c>
      <c r="G18" s="4">
        <v>566</v>
      </c>
      <c r="H18" s="4" t="s">
        <v>15</v>
      </c>
      <c r="I18" s="6">
        <v>1.0001500000000001</v>
      </c>
      <c r="J18" s="7">
        <v>4.0000000000000003E-5</v>
      </c>
      <c r="K18" s="4" t="s">
        <v>31</v>
      </c>
      <c r="L18" s="5"/>
      <c r="M18" s="10"/>
      <c r="N18" s="10"/>
      <c r="O18" s="10"/>
    </row>
    <row r="19" spans="1:20" ht="15.75" x14ac:dyDescent="0.5">
      <c r="A19" s="3" t="str">
        <f t="shared" si="0"/>
        <v>015</v>
      </c>
      <c r="B19" s="3" t="s">
        <v>12</v>
      </c>
      <c r="C19" s="3" t="s">
        <v>13</v>
      </c>
      <c r="D19" s="3" t="s">
        <v>54</v>
      </c>
      <c r="E19" s="3" t="s">
        <v>14</v>
      </c>
      <c r="F19" s="4">
        <v>975</v>
      </c>
      <c r="G19" s="4">
        <v>566</v>
      </c>
      <c r="H19" s="4" t="s">
        <v>15</v>
      </c>
      <c r="I19" s="6">
        <v>1.0012300000000001</v>
      </c>
      <c r="J19" s="7">
        <v>4.0000000000000003E-5</v>
      </c>
      <c r="K19" s="4" t="s">
        <v>31</v>
      </c>
      <c r="L19" s="5"/>
      <c r="M19" s="10"/>
      <c r="N19" s="10"/>
      <c r="O19" s="10"/>
    </row>
    <row r="20" spans="1:20" ht="15.75" x14ac:dyDescent="0.5">
      <c r="A20" s="3" t="str">
        <f t="shared" si="0"/>
        <v>016</v>
      </c>
      <c r="B20" s="3" t="s">
        <v>12</v>
      </c>
      <c r="C20" s="3" t="s">
        <v>13</v>
      </c>
      <c r="D20" s="3" t="s">
        <v>32</v>
      </c>
      <c r="E20" s="3" t="s">
        <v>14</v>
      </c>
      <c r="F20" s="4">
        <v>975</v>
      </c>
      <c r="G20" s="4">
        <v>566</v>
      </c>
      <c r="H20" s="4" t="s">
        <v>15</v>
      </c>
      <c r="I20" s="6">
        <v>1.0040500000000001</v>
      </c>
      <c r="J20" s="7">
        <v>4.0000000000000003E-5</v>
      </c>
      <c r="K20" s="4" t="s">
        <v>31</v>
      </c>
      <c r="L20" s="5"/>
      <c r="M20" s="10"/>
      <c r="N20" s="10"/>
      <c r="O20" s="10"/>
    </row>
    <row r="21" spans="1:20" ht="15.75" x14ac:dyDescent="0.5">
      <c r="A21" s="3" t="str">
        <f t="shared" si="0"/>
        <v>017</v>
      </c>
      <c r="B21" s="3" t="s">
        <v>12</v>
      </c>
      <c r="C21" s="3" t="s">
        <v>13</v>
      </c>
      <c r="D21" s="3" t="s">
        <v>33</v>
      </c>
      <c r="E21" s="3" t="s">
        <v>14</v>
      </c>
      <c r="F21" s="4">
        <v>975</v>
      </c>
      <c r="G21" s="4">
        <v>566</v>
      </c>
      <c r="H21" s="4" t="s">
        <v>15</v>
      </c>
      <c r="I21" s="6">
        <v>0.99926999999999999</v>
      </c>
      <c r="J21" s="7">
        <v>5.0000000000000002E-5</v>
      </c>
      <c r="K21" s="4" t="s">
        <v>31</v>
      </c>
      <c r="L21" s="5"/>
      <c r="M21" s="10"/>
      <c r="N21" s="10"/>
      <c r="O21" s="10"/>
    </row>
    <row r="22" spans="1:20" ht="15.75" x14ac:dyDescent="0.5">
      <c r="A22" s="3" t="str">
        <f t="shared" si="0"/>
        <v>018</v>
      </c>
      <c r="B22" s="3" t="s">
        <v>12</v>
      </c>
      <c r="C22" s="3" t="s">
        <v>13</v>
      </c>
      <c r="D22" s="3" t="s">
        <v>34</v>
      </c>
      <c r="E22" s="3" t="s">
        <v>14</v>
      </c>
      <c r="F22" s="4">
        <v>975</v>
      </c>
      <c r="G22" s="4">
        <v>566</v>
      </c>
      <c r="H22" s="4" t="s">
        <v>15</v>
      </c>
      <c r="I22" s="3">
        <v>1.00362</v>
      </c>
      <c r="J22" s="3">
        <v>5.0000000000000002E-5</v>
      </c>
      <c r="K22" s="4" t="s">
        <v>31</v>
      </c>
      <c r="L22" s="5"/>
      <c r="M22" s="10"/>
      <c r="N22" s="10"/>
      <c r="O22" s="10"/>
    </row>
    <row r="23" spans="1:20" ht="15.75" x14ac:dyDescent="0.5">
      <c r="A23" s="3" t="str">
        <f t="shared" si="0"/>
        <v>019</v>
      </c>
      <c r="B23" s="3" t="s">
        <v>12</v>
      </c>
      <c r="C23" s="3" t="s">
        <v>13</v>
      </c>
      <c r="D23" s="3" t="s">
        <v>55</v>
      </c>
      <c r="E23" s="3" t="s">
        <v>14</v>
      </c>
      <c r="F23" s="4">
        <v>975</v>
      </c>
      <c r="G23" s="4">
        <v>566</v>
      </c>
      <c r="H23" s="4" t="s">
        <v>15</v>
      </c>
      <c r="I23" s="6">
        <v>0.99980999999999998</v>
      </c>
      <c r="J23" s="6">
        <v>4.0000000000000003E-5</v>
      </c>
      <c r="K23" s="4" t="s">
        <v>31</v>
      </c>
      <c r="L23" s="8" t="s">
        <v>35</v>
      </c>
      <c r="M23" s="10"/>
      <c r="N23" s="10"/>
      <c r="O23" s="10"/>
    </row>
    <row r="24" spans="1:20" ht="15.75" x14ac:dyDescent="0.5">
      <c r="A24" s="3" t="str">
        <f t="shared" si="0"/>
        <v>020</v>
      </c>
      <c r="B24" s="3" t="s">
        <v>12</v>
      </c>
      <c r="C24" s="3" t="s">
        <v>13</v>
      </c>
      <c r="D24" s="3" t="s">
        <v>53</v>
      </c>
      <c r="E24" s="3" t="s">
        <v>14</v>
      </c>
      <c r="F24" s="4">
        <v>975</v>
      </c>
      <c r="G24" s="4">
        <v>566</v>
      </c>
      <c r="H24" s="4" t="s">
        <v>15</v>
      </c>
      <c r="I24" s="6">
        <v>0.99961999999999995</v>
      </c>
      <c r="J24" s="6">
        <v>5.0000000000000002E-5</v>
      </c>
      <c r="K24" s="4" t="s">
        <v>31</v>
      </c>
      <c r="L24" s="8" t="s">
        <v>35</v>
      </c>
      <c r="M24" s="10"/>
      <c r="N24" s="10"/>
      <c r="O24" s="10"/>
    </row>
    <row r="25" spans="1:20" ht="15.75" x14ac:dyDescent="0.5">
      <c r="A25" s="3" t="str">
        <f t="shared" si="0"/>
        <v>021</v>
      </c>
      <c r="B25" s="3" t="s">
        <v>12</v>
      </c>
      <c r="C25" s="3" t="s">
        <v>13</v>
      </c>
      <c r="D25" s="3" t="s">
        <v>58</v>
      </c>
      <c r="E25" s="3" t="s">
        <v>14</v>
      </c>
      <c r="F25" s="4">
        <v>975</v>
      </c>
      <c r="G25" s="4">
        <v>566</v>
      </c>
      <c r="H25" s="4" t="s">
        <v>15</v>
      </c>
      <c r="I25" s="6">
        <v>0.99946999999999997</v>
      </c>
      <c r="J25" s="6">
        <v>4.0000000000000003E-5</v>
      </c>
      <c r="K25" s="4" t="s">
        <v>31</v>
      </c>
      <c r="L25" s="8" t="s">
        <v>35</v>
      </c>
      <c r="M25" s="10"/>
      <c r="N25" s="10"/>
      <c r="O25" s="10"/>
    </row>
    <row r="26" spans="1:20" ht="15.75" x14ac:dyDescent="0.5">
      <c r="A26" s="3" t="str">
        <f t="shared" si="0"/>
        <v>022</v>
      </c>
      <c r="B26" s="3" t="s">
        <v>12</v>
      </c>
      <c r="C26" s="3" t="s">
        <v>13</v>
      </c>
      <c r="D26" s="3" t="s">
        <v>56</v>
      </c>
      <c r="E26" s="3" t="s">
        <v>14</v>
      </c>
      <c r="F26" s="4">
        <v>975</v>
      </c>
      <c r="G26" s="4">
        <v>566</v>
      </c>
      <c r="H26" s="4" t="s">
        <v>15</v>
      </c>
      <c r="I26" s="6">
        <v>1.0012300000000001</v>
      </c>
      <c r="J26" s="4">
        <v>5.0000000000000002E-5</v>
      </c>
      <c r="K26" s="4" t="s">
        <v>31</v>
      </c>
      <c r="L26" s="8" t="s">
        <v>35</v>
      </c>
      <c r="M26" s="10"/>
      <c r="N26" s="10"/>
      <c r="O26" s="10"/>
    </row>
    <row r="27" spans="1:20" ht="15.75" x14ac:dyDescent="0.5">
      <c r="A27" s="3" t="str">
        <f t="shared" si="0"/>
        <v>023</v>
      </c>
      <c r="B27" s="3" t="s">
        <v>12</v>
      </c>
      <c r="C27" s="3" t="s">
        <v>13</v>
      </c>
      <c r="D27" s="3" t="s">
        <v>59</v>
      </c>
      <c r="E27" s="3" t="s">
        <v>14</v>
      </c>
      <c r="F27" s="4">
        <v>975</v>
      </c>
      <c r="G27" s="4">
        <v>566</v>
      </c>
      <c r="H27" s="4" t="s">
        <v>15</v>
      </c>
      <c r="I27" s="6">
        <v>1.0012099999999999</v>
      </c>
      <c r="J27" s="4">
        <v>4.0000000000000003E-5</v>
      </c>
      <c r="K27" s="4" t="s">
        <v>31</v>
      </c>
      <c r="L27" s="8" t="s">
        <v>35</v>
      </c>
      <c r="M27" s="10"/>
      <c r="N27" s="10"/>
      <c r="O27" s="10"/>
    </row>
    <row r="28" spans="1:20" ht="15.75" x14ac:dyDescent="0.5">
      <c r="A28" s="3" t="str">
        <f t="shared" si="0"/>
        <v>024</v>
      </c>
      <c r="B28" s="3" t="s">
        <v>12</v>
      </c>
      <c r="C28" s="3" t="s">
        <v>13</v>
      </c>
      <c r="D28" s="3" t="s">
        <v>36</v>
      </c>
      <c r="E28" s="3" t="s">
        <v>14</v>
      </c>
      <c r="F28" s="4">
        <v>975</v>
      </c>
      <c r="G28" s="4">
        <v>566</v>
      </c>
      <c r="H28" s="4" t="s">
        <v>15</v>
      </c>
      <c r="I28" s="6">
        <v>0.99848000000000003</v>
      </c>
      <c r="J28" s="4">
        <v>4.0000000000000003E-5</v>
      </c>
      <c r="K28" s="4" t="s">
        <v>31</v>
      </c>
      <c r="L28" s="8" t="s">
        <v>35</v>
      </c>
      <c r="M28" s="10"/>
      <c r="N28" s="10"/>
      <c r="O28" s="10"/>
    </row>
    <row r="29" spans="1:20" ht="15.75" x14ac:dyDescent="0.5">
      <c r="A29" s="3" t="str">
        <f t="shared" si="0"/>
        <v>025</v>
      </c>
      <c r="B29" s="3" t="s">
        <v>12</v>
      </c>
      <c r="C29" s="3" t="s">
        <v>13</v>
      </c>
      <c r="D29" s="3" t="s">
        <v>37</v>
      </c>
      <c r="E29" s="3" t="s">
        <v>14</v>
      </c>
      <c r="F29" s="4">
        <v>975</v>
      </c>
      <c r="G29" s="4">
        <v>566</v>
      </c>
      <c r="H29" s="4" t="s">
        <v>15</v>
      </c>
      <c r="I29" s="6">
        <v>1.00335</v>
      </c>
      <c r="J29" s="4">
        <v>4.0000000000000003E-5</v>
      </c>
      <c r="K29" s="4" t="s">
        <v>31</v>
      </c>
      <c r="L29" s="8" t="s">
        <v>35</v>
      </c>
      <c r="M29" s="10"/>
      <c r="N29" s="10"/>
      <c r="O29" s="10"/>
    </row>
    <row r="30" spans="1:20" ht="15.75" x14ac:dyDescent="0.5">
      <c r="A30" s="3" t="str">
        <f t="shared" si="0"/>
        <v>026</v>
      </c>
      <c r="B30" s="3" t="s">
        <v>12</v>
      </c>
      <c r="C30" s="3" t="s">
        <v>13</v>
      </c>
      <c r="D30" s="3" t="s">
        <v>38</v>
      </c>
      <c r="E30" s="3" t="s">
        <v>14</v>
      </c>
      <c r="F30" s="4">
        <v>975</v>
      </c>
      <c r="G30" s="4">
        <v>566</v>
      </c>
      <c r="H30" s="4" t="s">
        <v>15</v>
      </c>
      <c r="I30" s="6">
        <v>1.0033000000000001</v>
      </c>
      <c r="J30" s="4">
        <v>5.0000000000000002E-5</v>
      </c>
      <c r="K30" s="4" t="s">
        <v>31</v>
      </c>
      <c r="L30" s="8" t="s">
        <v>35</v>
      </c>
      <c r="M30" s="10"/>
      <c r="N30" s="10"/>
      <c r="O30" s="10"/>
    </row>
    <row r="31" spans="1:20" s="3" customFormat="1" ht="15.75" x14ac:dyDescent="0.5">
      <c r="A31" s="3" t="str">
        <f t="shared" si="0"/>
        <v>027</v>
      </c>
      <c r="B31" s="3" t="s">
        <v>12</v>
      </c>
      <c r="C31" s="3" t="s">
        <v>13</v>
      </c>
      <c r="D31" s="3" t="s">
        <v>53</v>
      </c>
      <c r="E31" s="3" t="s">
        <v>14</v>
      </c>
      <c r="F31" s="3">
        <v>975</v>
      </c>
      <c r="G31" s="7">
        <v>300</v>
      </c>
      <c r="H31" s="4" t="s">
        <v>15</v>
      </c>
      <c r="I31" s="6">
        <v>1.0178400000000001</v>
      </c>
      <c r="J31" s="6">
        <v>4.0000000000000003E-5</v>
      </c>
      <c r="K31" s="3" t="s">
        <v>39</v>
      </c>
      <c r="L31" s="9"/>
      <c r="M31" s="12"/>
      <c r="N31" s="12"/>
      <c r="Q31" s="7"/>
    </row>
    <row r="32" spans="1:20" s="3" customFormat="1" ht="15.75" x14ac:dyDescent="0.5">
      <c r="A32" s="3" t="str">
        <f t="shared" si="0"/>
        <v>028</v>
      </c>
      <c r="B32" s="3" t="s">
        <v>12</v>
      </c>
      <c r="C32" s="3" t="s">
        <v>13</v>
      </c>
      <c r="D32" s="3" t="s">
        <v>53</v>
      </c>
      <c r="E32" s="3" t="s">
        <v>14</v>
      </c>
      <c r="F32" s="3">
        <v>975</v>
      </c>
      <c r="G32" s="7">
        <v>400</v>
      </c>
      <c r="H32" s="4" t="s">
        <v>15</v>
      </c>
      <c r="I32" s="6">
        <v>1.0111110000000001</v>
      </c>
      <c r="J32" s="6">
        <v>4.0000000000000003E-5</v>
      </c>
      <c r="K32" s="3" t="s">
        <v>39</v>
      </c>
      <c r="L32" s="9"/>
      <c r="M32" s="12"/>
      <c r="N32" s="12"/>
      <c r="Q32" s="7"/>
      <c r="T32" s="7"/>
    </row>
    <row r="33" spans="1:20" s="3" customFormat="1" ht="15.75" x14ac:dyDescent="0.5">
      <c r="A33" s="3" t="str">
        <f t="shared" si="0"/>
        <v>029</v>
      </c>
      <c r="B33" s="3" t="s">
        <v>12</v>
      </c>
      <c r="C33" s="3" t="s">
        <v>13</v>
      </c>
      <c r="D33" s="3" t="s">
        <v>53</v>
      </c>
      <c r="E33" s="3" t="s">
        <v>14</v>
      </c>
      <c r="F33" s="3">
        <v>975</v>
      </c>
      <c r="G33" s="7">
        <v>500</v>
      </c>
      <c r="H33" s="4" t="s">
        <v>15</v>
      </c>
      <c r="I33" s="6">
        <v>1.00414</v>
      </c>
      <c r="J33" s="6">
        <v>5.0000000000000002E-5</v>
      </c>
      <c r="K33" s="3" t="s">
        <v>39</v>
      </c>
      <c r="L33" s="9"/>
      <c r="M33" s="12"/>
      <c r="N33" s="12"/>
      <c r="Q33" s="7"/>
    </row>
    <row r="34" spans="1:20" s="3" customFormat="1" ht="15.75" x14ac:dyDescent="0.5">
      <c r="A34" s="3" t="str">
        <f t="shared" si="0"/>
        <v>030</v>
      </c>
      <c r="B34" s="3" t="s">
        <v>12</v>
      </c>
      <c r="C34" s="3" t="s">
        <v>13</v>
      </c>
      <c r="D34" s="3" t="s">
        <v>53</v>
      </c>
      <c r="E34" s="3" t="s">
        <v>14</v>
      </c>
      <c r="F34" s="3">
        <v>975</v>
      </c>
      <c r="G34" s="7">
        <v>550</v>
      </c>
      <c r="H34" s="4" t="s">
        <v>15</v>
      </c>
      <c r="I34" s="6">
        <v>1.0007999999999999</v>
      </c>
      <c r="J34" s="6">
        <v>4.0000000000000003E-5</v>
      </c>
      <c r="K34" s="3" t="s">
        <v>39</v>
      </c>
      <c r="L34" s="9"/>
      <c r="M34" s="12"/>
      <c r="N34" s="12"/>
      <c r="Q34" s="7"/>
      <c r="T34" s="7"/>
    </row>
    <row r="35" spans="1:20" s="3" customFormat="1" ht="15.75" x14ac:dyDescent="0.5">
      <c r="A35" s="3" t="str">
        <f t="shared" si="0"/>
        <v>031</v>
      </c>
      <c r="B35" s="3" t="s">
        <v>12</v>
      </c>
      <c r="C35" s="3" t="s">
        <v>13</v>
      </c>
      <c r="D35" s="3" t="s">
        <v>53</v>
      </c>
      <c r="E35" s="3" t="s">
        <v>14</v>
      </c>
      <c r="F35" s="3">
        <v>975</v>
      </c>
      <c r="G35" s="7">
        <v>566</v>
      </c>
      <c r="H35" s="4" t="s">
        <v>15</v>
      </c>
      <c r="I35" s="6">
        <v>0.99982000000000004</v>
      </c>
      <c r="J35" s="6">
        <v>5.0000000000000002E-5</v>
      </c>
      <c r="K35" s="3" t="s">
        <v>39</v>
      </c>
      <c r="L35" s="9"/>
      <c r="M35" s="12"/>
      <c r="N35" s="12"/>
      <c r="Q35" s="7"/>
      <c r="T35" s="7"/>
    </row>
    <row r="36" spans="1:20" s="3" customFormat="1" ht="15.75" x14ac:dyDescent="0.5">
      <c r="A36" s="3" t="str">
        <f t="shared" si="0"/>
        <v>032</v>
      </c>
      <c r="B36" s="3" t="s">
        <v>12</v>
      </c>
      <c r="C36" s="3" t="s">
        <v>13</v>
      </c>
      <c r="D36" s="3" t="s">
        <v>53</v>
      </c>
      <c r="E36" s="3" t="s">
        <v>14</v>
      </c>
      <c r="F36" s="3">
        <v>975</v>
      </c>
      <c r="G36" s="7">
        <v>600</v>
      </c>
      <c r="H36" s="4" t="s">
        <v>15</v>
      </c>
      <c r="I36" s="6">
        <v>0.99758000000000002</v>
      </c>
      <c r="J36" s="6">
        <v>5.0000000000000002E-5</v>
      </c>
      <c r="K36" s="3" t="s">
        <v>39</v>
      </c>
      <c r="L36" s="9"/>
      <c r="M36" s="12"/>
      <c r="N36" s="12"/>
      <c r="Q36" s="7"/>
      <c r="T36" s="7"/>
    </row>
    <row r="37" spans="1:20" s="3" customFormat="1" ht="15.4" x14ac:dyDescent="0.45">
      <c r="A37" s="3" t="str">
        <f t="shared" si="0"/>
        <v>033</v>
      </c>
      <c r="B37" s="3" t="s">
        <v>12</v>
      </c>
      <c r="C37" s="3" t="s">
        <v>13</v>
      </c>
      <c r="D37" s="3" t="s">
        <v>53</v>
      </c>
      <c r="E37" s="3" t="s">
        <v>14</v>
      </c>
      <c r="F37" s="3">
        <v>975</v>
      </c>
      <c r="G37" s="7">
        <v>300</v>
      </c>
      <c r="H37" s="3" t="s">
        <v>40</v>
      </c>
      <c r="I37" s="6">
        <v>1.01834</v>
      </c>
      <c r="J37" s="6">
        <v>4.0000000000000003E-5</v>
      </c>
      <c r="K37" s="3" t="s">
        <v>39</v>
      </c>
      <c r="L37" s="9"/>
      <c r="M37" s="12"/>
      <c r="N37" s="12"/>
      <c r="Q37" s="7"/>
    </row>
    <row r="38" spans="1:20" s="3" customFormat="1" ht="15.4" x14ac:dyDescent="0.45">
      <c r="A38" s="3" t="str">
        <f t="shared" si="0"/>
        <v>034</v>
      </c>
      <c r="B38" s="3" t="s">
        <v>12</v>
      </c>
      <c r="C38" s="3" t="s">
        <v>13</v>
      </c>
      <c r="D38" s="3" t="s">
        <v>53</v>
      </c>
      <c r="E38" s="3" t="s">
        <v>14</v>
      </c>
      <c r="F38" s="3">
        <v>975</v>
      </c>
      <c r="G38" s="7">
        <v>500</v>
      </c>
      <c r="H38" s="3" t="s">
        <v>40</v>
      </c>
      <c r="I38" s="6">
        <v>1.00084</v>
      </c>
      <c r="J38" s="6">
        <v>4.0000000000000003E-5</v>
      </c>
      <c r="K38" s="3" t="s">
        <v>39</v>
      </c>
      <c r="L38" s="9"/>
      <c r="M38" s="12"/>
      <c r="N38" s="12"/>
      <c r="Q38" s="7"/>
      <c r="T38" s="7"/>
    </row>
    <row r="39" spans="1:20" s="3" customFormat="1" ht="15.4" x14ac:dyDescent="0.45">
      <c r="A39" s="3" t="str">
        <f t="shared" si="0"/>
        <v>035</v>
      </c>
      <c r="B39" s="3" t="s">
        <v>12</v>
      </c>
      <c r="C39" s="3" t="s">
        <v>13</v>
      </c>
      <c r="D39" s="3" t="s">
        <v>53</v>
      </c>
      <c r="E39" s="3" t="s">
        <v>14</v>
      </c>
      <c r="F39" s="3">
        <v>975</v>
      </c>
      <c r="G39" s="7">
        <v>550</v>
      </c>
      <c r="H39" s="3" t="s">
        <v>40</v>
      </c>
      <c r="I39" s="6">
        <v>0.99911000000000005</v>
      </c>
      <c r="J39" s="6">
        <v>5.0000000000000002E-5</v>
      </c>
      <c r="K39" s="3" t="s">
        <v>39</v>
      </c>
      <c r="L39" s="9"/>
      <c r="M39" s="12"/>
      <c r="N39" s="12"/>
      <c r="Q39" s="7"/>
      <c r="T39" s="7"/>
    </row>
    <row r="40" spans="1:20" s="3" customFormat="1" ht="15.4" x14ac:dyDescent="0.45">
      <c r="A40" s="3" t="str">
        <f t="shared" si="0"/>
        <v>036</v>
      </c>
      <c r="B40" s="3" t="s">
        <v>12</v>
      </c>
      <c r="C40" s="3" t="s">
        <v>13</v>
      </c>
      <c r="D40" s="3" t="s">
        <v>53</v>
      </c>
      <c r="E40" s="3" t="s">
        <v>14</v>
      </c>
      <c r="F40" s="3">
        <v>975</v>
      </c>
      <c r="G40" s="7">
        <v>566</v>
      </c>
      <c r="H40" s="3" t="s">
        <v>40</v>
      </c>
      <c r="I40" s="6">
        <v>0.99911000000000005</v>
      </c>
      <c r="J40" s="6">
        <v>5.0000000000000002E-5</v>
      </c>
      <c r="K40" s="3" t="s">
        <v>39</v>
      </c>
      <c r="L40" s="9"/>
      <c r="M40" s="12"/>
      <c r="N40" s="12"/>
      <c r="Q40" s="7"/>
      <c r="T40" s="7"/>
    </row>
    <row r="41" spans="1:20" s="3" customFormat="1" ht="15.4" x14ac:dyDescent="0.45">
      <c r="A41" s="3" t="str">
        <f t="shared" si="0"/>
        <v>037</v>
      </c>
      <c r="B41" s="3" t="s">
        <v>12</v>
      </c>
      <c r="C41" s="3" t="s">
        <v>13</v>
      </c>
      <c r="D41" s="3" t="s">
        <v>53</v>
      </c>
      <c r="E41" s="3" t="s">
        <v>14</v>
      </c>
      <c r="F41" s="3">
        <v>975</v>
      </c>
      <c r="G41" s="7">
        <v>600</v>
      </c>
      <c r="H41" s="3" t="s">
        <v>40</v>
      </c>
      <c r="I41" s="6">
        <v>0.99763999999999997</v>
      </c>
      <c r="J41" s="6">
        <v>5.0000000000000002E-5</v>
      </c>
      <c r="K41" s="3" t="s">
        <v>39</v>
      </c>
      <c r="L41" s="9"/>
      <c r="M41" s="12"/>
      <c r="N41" s="12"/>
      <c r="Q41" s="7"/>
      <c r="T41" s="7"/>
    </row>
    <row r="42" spans="1:20" s="3" customFormat="1" ht="15.75" x14ac:dyDescent="0.5">
      <c r="A42" s="3" t="str">
        <f t="shared" si="0"/>
        <v>038</v>
      </c>
      <c r="B42" s="3" t="s">
        <v>12</v>
      </c>
      <c r="C42" s="3" t="s">
        <v>13</v>
      </c>
      <c r="D42" s="3" t="s">
        <v>53</v>
      </c>
      <c r="E42" s="3" t="s">
        <v>41</v>
      </c>
      <c r="F42" s="3">
        <v>902</v>
      </c>
      <c r="G42" s="4">
        <v>566</v>
      </c>
      <c r="H42" s="4" t="s">
        <v>15</v>
      </c>
      <c r="I42" s="6">
        <v>1.00129</v>
      </c>
      <c r="J42" s="7">
        <v>4.0000000000000003E-5</v>
      </c>
      <c r="K42" s="3" t="s">
        <v>42</v>
      </c>
      <c r="L42" s="8"/>
      <c r="M42" s="7"/>
      <c r="N42" s="7"/>
      <c r="Q42" s="13"/>
      <c r="T42" s="7"/>
    </row>
    <row r="43" spans="1:20" s="3" customFormat="1" ht="15.75" x14ac:dyDescent="0.5">
      <c r="A43" s="3" t="str">
        <f t="shared" si="0"/>
        <v>039</v>
      </c>
      <c r="B43" s="3" t="s">
        <v>12</v>
      </c>
      <c r="C43" s="3" t="s">
        <v>13</v>
      </c>
      <c r="D43" s="3" t="s">
        <v>53</v>
      </c>
      <c r="E43" s="3" t="s">
        <v>43</v>
      </c>
      <c r="F43" s="3">
        <v>810</v>
      </c>
      <c r="G43" s="4">
        <v>566</v>
      </c>
      <c r="H43" s="4" t="s">
        <v>15</v>
      </c>
      <c r="I43" s="6">
        <v>1.0004500000000001</v>
      </c>
      <c r="J43" s="7">
        <v>4.0000000000000003E-5</v>
      </c>
      <c r="K43" s="3" t="s">
        <v>42</v>
      </c>
      <c r="L43" s="8"/>
      <c r="M43" s="7"/>
      <c r="N43" s="7"/>
      <c r="Q43" s="13"/>
      <c r="T43" s="7"/>
    </row>
    <row r="44" spans="1:20" s="3" customFormat="1" ht="15.75" x14ac:dyDescent="0.5">
      <c r="A44" s="3" t="str">
        <f t="shared" si="0"/>
        <v>040</v>
      </c>
      <c r="B44" s="3" t="s">
        <v>12</v>
      </c>
      <c r="C44" s="3" t="s">
        <v>13</v>
      </c>
      <c r="D44" s="3" t="s">
        <v>53</v>
      </c>
      <c r="E44" s="3" t="s">
        <v>44</v>
      </c>
      <c r="F44" s="3">
        <v>686</v>
      </c>
      <c r="G44" s="4">
        <v>566</v>
      </c>
      <c r="H44" s="4" t="s">
        <v>15</v>
      </c>
      <c r="I44" s="6">
        <v>0.99870999999999999</v>
      </c>
      <c r="J44" s="7">
        <v>4.0000000000000003E-5</v>
      </c>
      <c r="K44" s="3" t="s">
        <v>42</v>
      </c>
      <c r="L44" s="8"/>
      <c r="M44" s="7"/>
      <c r="N44" s="7"/>
      <c r="Q44" s="13"/>
      <c r="T44" s="12"/>
    </row>
    <row r="45" spans="1:20" s="3" customFormat="1" ht="31.15" x14ac:dyDescent="0.5">
      <c r="A45" s="3" t="str">
        <f t="shared" si="0"/>
        <v>041</v>
      </c>
      <c r="B45" s="3" t="s">
        <v>12</v>
      </c>
      <c r="C45" s="3" t="s">
        <v>13</v>
      </c>
      <c r="D45" s="3" t="s">
        <v>53</v>
      </c>
      <c r="E45" s="3" t="s">
        <v>45</v>
      </c>
      <c r="F45" s="3">
        <v>508</v>
      </c>
      <c r="G45" s="4">
        <v>566</v>
      </c>
      <c r="H45" s="4" t="s">
        <v>15</v>
      </c>
      <c r="I45" s="6">
        <v>0.99717</v>
      </c>
      <c r="J45" s="7">
        <v>5.0000000000000002E-5</v>
      </c>
      <c r="K45" s="3" t="s">
        <v>42</v>
      </c>
      <c r="L45" s="8"/>
      <c r="M45" s="7"/>
      <c r="N45" s="7"/>
      <c r="Q45" s="13"/>
      <c r="T45" s="12"/>
    </row>
    <row r="46" spans="1:20" ht="15.75" x14ac:dyDescent="0.5">
      <c r="A46" s="3" t="str">
        <f t="shared" si="0"/>
        <v>042</v>
      </c>
      <c r="B46" s="3" t="s">
        <v>12</v>
      </c>
      <c r="C46" s="3" t="s">
        <v>13</v>
      </c>
      <c r="D46" s="3" t="s">
        <v>53</v>
      </c>
      <c r="E46" s="3" t="s">
        <v>41</v>
      </c>
      <c r="F46" s="3">
        <v>975</v>
      </c>
      <c r="G46" s="4">
        <v>566</v>
      </c>
      <c r="H46" s="4" t="s">
        <v>15</v>
      </c>
      <c r="I46" s="6">
        <v>0.99199999999999999</v>
      </c>
      <c r="J46" s="7">
        <v>5.0000000000000002E-5</v>
      </c>
      <c r="K46" s="3" t="s">
        <v>42</v>
      </c>
    </row>
    <row r="47" spans="1:20" s="3" customFormat="1" ht="17.25" customHeight="1" x14ac:dyDescent="0.5">
      <c r="A47" s="3" t="str">
        <f t="shared" si="0"/>
        <v>043</v>
      </c>
      <c r="B47" s="3" t="s">
        <v>12</v>
      </c>
      <c r="C47" s="3" t="s">
        <v>13</v>
      </c>
      <c r="D47" s="3" t="s">
        <v>53</v>
      </c>
      <c r="E47" s="3" t="s">
        <v>43</v>
      </c>
      <c r="F47" s="3">
        <v>902</v>
      </c>
      <c r="G47" s="4">
        <v>566</v>
      </c>
      <c r="H47" s="4" t="s">
        <v>15</v>
      </c>
      <c r="I47" s="6">
        <v>0.98895999999999995</v>
      </c>
      <c r="J47" s="7">
        <v>4.0000000000000003E-5</v>
      </c>
      <c r="K47" s="3" t="s">
        <v>42</v>
      </c>
      <c r="L47" s="8"/>
      <c r="M47" s="7"/>
      <c r="N47" s="7"/>
      <c r="Q47" s="13"/>
      <c r="T47" s="12"/>
    </row>
    <row r="48" spans="1:20" s="3" customFormat="1" ht="15.75" x14ac:dyDescent="0.5">
      <c r="A48" s="3" t="str">
        <f t="shared" si="0"/>
        <v>044</v>
      </c>
      <c r="B48" s="3" t="s">
        <v>12</v>
      </c>
      <c r="C48" s="3" t="s">
        <v>13</v>
      </c>
      <c r="D48" s="3" t="s">
        <v>53</v>
      </c>
      <c r="E48" s="3" t="s">
        <v>46</v>
      </c>
      <c r="F48" s="3">
        <v>810</v>
      </c>
      <c r="G48" s="4">
        <v>566</v>
      </c>
      <c r="H48" s="4" t="s">
        <v>15</v>
      </c>
      <c r="I48" s="6">
        <v>0.98843999999999999</v>
      </c>
      <c r="J48" s="7">
        <v>5.0000000000000002E-5</v>
      </c>
      <c r="K48" s="3" t="s">
        <v>42</v>
      </c>
      <c r="L48" s="8"/>
      <c r="M48" s="7"/>
      <c r="N48" s="7"/>
      <c r="Q48" s="13"/>
      <c r="T48" s="12"/>
    </row>
    <row r="49" spans="1:20" s="3" customFormat="1" ht="15.75" x14ac:dyDescent="0.5">
      <c r="A49" s="3" t="str">
        <f t="shared" si="0"/>
        <v>045</v>
      </c>
      <c r="B49" s="3" t="s">
        <v>12</v>
      </c>
      <c r="C49" s="3" t="s">
        <v>13</v>
      </c>
      <c r="D49" s="3" t="s">
        <v>53</v>
      </c>
      <c r="E49" s="3" t="s">
        <v>44</v>
      </c>
      <c r="F49" s="3">
        <v>768.09144000000003</v>
      </c>
      <c r="G49" s="4">
        <v>566</v>
      </c>
      <c r="H49" s="4" t="s">
        <v>15</v>
      </c>
      <c r="I49" s="6">
        <v>0.98839999999999995</v>
      </c>
      <c r="J49" s="7">
        <v>5.0000000000000002E-5</v>
      </c>
      <c r="K49" s="3" t="s">
        <v>42</v>
      </c>
      <c r="L49" s="8"/>
      <c r="M49" s="7"/>
      <c r="N49" s="7"/>
      <c r="Q49" s="13"/>
      <c r="T49" s="12"/>
    </row>
    <row r="50" spans="1:20" s="3" customFormat="1" ht="31.15" x14ac:dyDescent="0.5">
      <c r="A50" s="3" t="str">
        <f t="shared" si="0"/>
        <v>046</v>
      </c>
      <c r="B50" s="3" t="s">
        <v>12</v>
      </c>
      <c r="C50" s="3" t="s">
        <v>13</v>
      </c>
      <c r="D50" s="3" t="s">
        <v>53</v>
      </c>
      <c r="E50" s="3" t="s">
        <v>47</v>
      </c>
      <c r="F50" s="3">
        <v>686</v>
      </c>
      <c r="G50" s="4">
        <v>566</v>
      </c>
      <c r="H50" s="4" t="s">
        <v>15</v>
      </c>
      <c r="I50" s="6">
        <v>0.99387999999999999</v>
      </c>
      <c r="J50" s="7">
        <v>5.0000000000000002E-5</v>
      </c>
      <c r="K50" s="3" t="s">
        <v>42</v>
      </c>
      <c r="L50" s="8"/>
      <c r="M50" s="7"/>
      <c r="N50" s="7"/>
      <c r="Q50" s="13"/>
      <c r="T50" s="12"/>
    </row>
    <row r="51" spans="1:20" s="3" customFormat="1" ht="31.15" x14ac:dyDescent="0.5">
      <c r="A51" s="3" t="str">
        <f t="shared" si="0"/>
        <v>047</v>
      </c>
      <c r="B51" s="3" t="s">
        <v>12</v>
      </c>
      <c r="C51" s="3" t="s">
        <v>13</v>
      </c>
      <c r="D51" s="3" t="s">
        <v>53</v>
      </c>
      <c r="E51" s="3" t="s">
        <v>48</v>
      </c>
      <c r="F51" s="3">
        <v>631.32952999999998</v>
      </c>
      <c r="G51" s="4">
        <v>566</v>
      </c>
      <c r="H51" s="4" t="s">
        <v>15</v>
      </c>
      <c r="I51" s="6">
        <v>0.99272000000000005</v>
      </c>
      <c r="J51" s="7">
        <v>5.0000000000000002E-5</v>
      </c>
      <c r="K51" s="3" t="s">
        <v>42</v>
      </c>
      <c r="L51" s="8"/>
      <c r="M51" s="7"/>
      <c r="N51" s="7"/>
      <c r="Q51" s="13"/>
      <c r="T51" s="12"/>
    </row>
    <row r="52" spans="1:20" ht="31.15" x14ac:dyDescent="0.5">
      <c r="A52" s="3" t="str">
        <f t="shared" si="0"/>
        <v>048</v>
      </c>
      <c r="B52" s="3" t="s">
        <v>12</v>
      </c>
      <c r="C52" s="3" t="s">
        <v>13</v>
      </c>
      <c r="D52" s="3" t="s">
        <v>53</v>
      </c>
      <c r="E52" s="3" t="s">
        <v>45</v>
      </c>
      <c r="F52" s="3">
        <v>553.50199999999995</v>
      </c>
      <c r="G52" s="4">
        <v>566</v>
      </c>
      <c r="H52" s="4" t="s">
        <v>15</v>
      </c>
      <c r="I52" s="6">
        <v>0.99143000000000003</v>
      </c>
      <c r="J52" s="7">
        <v>4.0000000000000003E-5</v>
      </c>
      <c r="K52" s="3" t="s">
        <v>42</v>
      </c>
      <c r="M52" s="10"/>
      <c r="N52" s="10"/>
      <c r="O52" s="10"/>
    </row>
    <row r="53" spans="1:20" ht="15.75" x14ac:dyDescent="0.5">
      <c r="A53" s="3" t="str">
        <f t="shared" si="0"/>
        <v>049</v>
      </c>
      <c r="B53" s="3" t="s">
        <v>12</v>
      </c>
      <c r="C53" s="3" t="s">
        <v>13</v>
      </c>
      <c r="D53" s="3" t="s">
        <v>53</v>
      </c>
      <c r="E53" s="3" t="s">
        <v>46</v>
      </c>
      <c r="F53" s="3">
        <v>768.09144000000003</v>
      </c>
      <c r="G53" s="4">
        <v>566</v>
      </c>
      <c r="H53" s="4" t="s">
        <v>15</v>
      </c>
      <c r="I53" s="6">
        <v>0.99382000000000004</v>
      </c>
      <c r="J53" s="7">
        <v>5.0000000000000002E-5</v>
      </c>
      <c r="K53" s="3" t="s">
        <v>42</v>
      </c>
      <c r="M53" s="10"/>
      <c r="N53" s="10"/>
      <c r="O53" s="10"/>
    </row>
    <row r="54" spans="1:20" ht="31.15" x14ac:dyDescent="0.5">
      <c r="A54" s="3" t="str">
        <f t="shared" si="0"/>
        <v>050</v>
      </c>
      <c r="B54" s="3" t="s">
        <v>12</v>
      </c>
      <c r="C54" s="3" t="s">
        <v>13</v>
      </c>
      <c r="D54" s="3" t="s">
        <v>53</v>
      </c>
      <c r="E54" s="3" t="s">
        <v>14</v>
      </c>
      <c r="F54" s="3">
        <v>975</v>
      </c>
      <c r="G54" s="7">
        <v>300</v>
      </c>
      <c r="H54" s="4" t="s">
        <v>15</v>
      </c>
      <c r="I54" s="7">
        <v>1.0179100000000001</v>
      </c>
      <c r="J54" s="7">
        <v>4.0000000000000003E-5</v>
      </c>
      <c r="K54" s="10"/>
      <c r="L54" s="9" t="s">
        <v>49</v>
      </c>
      <c r="M54" s="10"/>
      <c r="N54" s="10"/>
      <c r="O54" s="10"/>
    </row>
    <row r="55" spans="1:20" ht="31.15" x14ac:dyDescent="0.5">
      <c r="A55" s="3" t="str">
        <f t="shared" si="0"/>
        <v>051</v>
      </c>
      <c r="B55" s="3" t="s">
        <v>12</v>
      </c>
      <c r="C55" s="3" t="s">
        <v>13</v>
      </c>
      <c r="D55" s="3" t="s">
        <v>53</v>
      </c>
      <c r="E55" s="3" t="s">
        <v>14</v>
      </c>
      <c r="F55" s="3">
        <v>975</v>
      </c>
      <c r="G55" s="7">
        <v>300</v>
      </c>
      <c r="H55" s="4" t="s">
        <v>15</v>
      </c>
      <c r="I55" s="6">
        <v>1.01881</v>
      </c>
      <c r="J55" s="6">
        <v>5.0000000000000002E-5</v>
      </c>
      <c r="K55" s="10"/>
      <c r="L55" s="9" t="s">
        <v>50</v>
      </c>
      <c r="M55" s="10"/>
      <c r="N55" s="10"/>
      <c r="O5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DF02-8827-41FD-A8AD-4AAB9D40E158}">
  <dimension ref="A1:T55"/>
  <sheetViews>
    <sheetView tabSelected="1" workbookViewId="0">
      <selection activeCell="A3" sqref="A3"/>
    </sheetView>
  </sheetViews>
  <sheetFormatPr defaultRowHeight="14.25" x14ac:dyDescent="0.45"/>
  <cols>
    <col min="1" max="1" width="11.33203125" customWidth="1"/>
    <col min="2" max="2" width="14.19921875" customWidth="1"/>
    <col min="3" max="3" width="10.53125" customWidth="1"/>
    <col min="4" max="4" width="21.06640625" customWidth="1"/>
    <col min="5" max="5" width="13.265625" customWidth="1"/>
    <col min="6" max="6" width="14.46484375" customWidth="1"/>
    <col min="7" max="7" width="13.9296875" customWidth="1"/>
    <col min="8" max="8" width="13.33203125" customWidth="1"/>
    <col min="9" max="9" width="10.265625" customWidth="1"/>
    <col min="10" max="10" width="13.06640625" customWidth="1"/>
    <col min="11" max="11" width="18.9296875" customWidth="1"/>
    <col min="12" max="12" width="104.73046875" customWidth="1"/>
  </cols>
  <sheetData>
    <row r="1" spans="1:15" x14ac:dyDescent="0.45">
      <c r="A1" t="s">
        <v>67</v>
      </c>
    </row>
    <row r="2" spans="1:15" x14ac:dyDescent="0.45">
      <c r="A2" t="s">
        <v>52</v>
      </c>
    </row>
    <row r="4" spans="1:15" s="11" customFormat="1" ht="45.4" x14ac:dyDescent="0.45">
      <c r="A4" s="14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</row>
    <row r="5" spans="1:15" ht="30.75" x14ac:dyDescent="0.45">
      <c r="A5" s="3" t="str">
        <f>TEXT(ROW()+47, "000")</f>
        <v>052</v>
      </c>
      <c r="B5" s="3" t="s">
        <v>12</v>
      </c>
      <c r="C5" s="3" t="s">
        <v>13</v>
      </c>
      <c r="D5" s="3" t="s">
        <v>60</v>
      </c>
      <c r="E5" s="3" t="s">
        <v>14</v>
      </c>
      <c r="F5" s="7">
        <v>975</v>
      </c>
      <c r="G5" s="7">
        <v>566</v>
      </c>
      <c r="H5" s="7" t="s">
        <v>15</v>
      </c>
      <c r="I5" s="7">
        <v>1.00099</v>
      </c>
      <c r="J5" s="7">
        <v>4.0000000000000003E-5</v>
      </c>
      <c r="K5" s="3" t="s">
        <v>63</v>
      </c>
      <c r="L5" s="7"/>
      <c r="M5" s="10"/>
      <c r="N5" s="10"/>
      <c r="O5" s="10"/>
    </row>
    <row r="6" spans="1:15" ht="15.4" x14ac:dyDescent="0.45">
      <c r="A6" s="3" t="str">
        <f>TEXT(ROW()+47, "000")</f>
        <v>053</v>
      </c>
      <c r="B6" s="3" t="s">
        <v>12</v>
      </c>
      <c r="C6" s="3" t="s">
        <v>13</v>
      </c>
      <c r="D6" s="3" t="s">
        <v>61</v>
      </c>
      <c r="E6" s="3" t="s">
        <v>14</v>
      </c>
      <c r="F6" s="7">
        <v>975</v>
      </c>
      <c r="G6" s="7">
        <v>566</v>
      </c>
      <c r="H6" s="7" t="s">
        <v>15</v>
      </c>
      <c r="I6" s="6">
        <v>1.0010399999999999</v>
      </c>
      <c r="J6" s="7">
        <v>5.0000000000000002E-5</v>
      </c>
      <c r="K6" s="7" t="s">
        <v>64</v>
      </c>
      <c r="L6" s="7"/>
      <c r="M6" s="10"/>
      <c r="N6" s="10"/>
      <c r="O6" s="10"/>
    </row>
    <row r="7" spans="1:15" ht="15.4" x14ac:dyDescent="0.45">
      <c r="A7" s="3" t="str">
        <f>TEXT(ROW()+47, "000")</f>
        <v>054</v>
      </c>
      <c r="B7" s="3" t="s">
        <v>12</v>
      </c>
      <c r="C7" s="3" t="s">
        <v>13</v>
      </c>
      <c r="D7" s="3" t="s">
        <v>60</v>
      </c>
      <c r="E7" s="3" t="s">
        <v>14</v>
      </c>
      <c r="F7" s="7">
        <v>975</v>
      </c>
      <c r="G7" s="7">
        <v>566</v>
      </c>
      <c r="H7" s="7" t="s">
        <v>15</v>
      </c>
      <c r="I7" s="6">
        <v>1.0009999999999999</v>
      </c>
      <c r="J7" s="7">
        <v>5.0000000000000002E-5</v>
      </c>
      <c r="K7" s="7" t="s">
        <v>65</v>
      </c>
      <c r="L7" s="12" t="s">
        <v>62</v>
      </c>
      <c r="M7" s="10"/>
      <c r="N7" s="10"/>
      <c r="O7" s="10"/>
    </row>
    <row r="8" spans="1:15" ht="15.4" x14ac:dyDescent="0.45">
      <c r="A8" s="3" t="str">
        <f t="shared" ref="A8:A50" si="0">TEXT(ROW()+47, "000")</f>
        <v>055</v>
      </c>
      <c r="B8" s="3" t="s">
        <v>12</v>
      </c>
      <c r="C8" s="3" t="s">
        <v>13</v>
      </c>
      <c r="D8" s="3" t="s">
        <v>61</v>
      </c>
      <c r="E8" s="3" t="s">
        <v>14</v>
      </c>
      <c r="F8" s="7">
        <v>975</v>
      </c>
      <c r="G8" s="7">
        <v>566</v>
      </c>
      <c r="H8" s="7" t="s">
        <v>15</v>
      </c>
      <c r="I8" s="6">
        <v>1.0010399999999999</v>
      </c>
      <c r="J8" s="7">
        <v>4.0000000000000003E-5</v>
      </c>
      <c r="K8" s="7" t="s">
        <v>65</v>
      </c>
      <c r="L8" s="12" t="s">
        <v>62</v>
      </c>
      <c r="M8" s="10"/>
      <c r="N8" s="10"/>
      <c r="O8" s="10"/>
    </row>
    <row r="9" spans="1:15" ht="15.4" x14ac:dyDescent="0.45">
      <c r="A9" s="3" t="str">
        <f t="shared" si="0"/>
        <v>056</v>
      </c>
      <c r="B9" s="3" t="s">
        <v>12</v>
      </c>
      <c r="C9" s="3" t="s">
        <v>13</v>
      </c>
      <c r="D9" s="3" t="s">
        <v>60</v>
      </c>
      <c r="E9" s="3" t="s">
        <v>41</v>
      </c>
      <c r="F9" s="3">
        <v>975</v>
      </c>
      <c r="G9" s="7">
        <v>566</v>
      </c>
      <c r="H9" s="7" t="s">
        <v>15</v>
      </c>
      <c r="I9" s="6">
        <v>0.99329000000000001</v>
      </c>
      <c r="J9" s="6">
        <v>4.0000000000000003E-5</v>
      </c>
      <c r="K9" s="7" t="s">
        <v>31</v>
      </c>
      <c r="L9" s="7"/>
      <c r="M9" s="10"/>
      <c r="N9" s="10"/>
      <c r="O9" s="10"/>
    </row>
    <row r="10" spans="1:15" ht="15.4" x14ac:dyDescent="0.45">
      <c r="A10" s="3" t="str">
        <f t="shared" si="0"/>
        <v>057</v>
      </c>
      <c r="B10" s="3" t="s">
        <v>12</v>
      </c>
      <c r="C10" s="3" t="s">
        <v>13</v>
      </c>
      <c r="D10" s="3" t="s">
        <v>60</v>
      </c>
      <c r="E10" s="3" t="s">
        <v>41</v>
      </c>
      <c r="F10" s="3">
        <v>902</v>
      </c>
      <c r="G10" s="7">
        <v>566</v>
      </c>
      <c r="H10" s="7" t="s">
        <v>15</v>
      </c>
      <c r="I10" s="6">
        <v>1.0025999999999999</v>
      </c>
      <c r="J10" s="6">
        <v>5.0000000000000002E-5</v>
      </c>
      <c r="K10" s="7" t="s">
        <v>31</v>
      </c>
      <c r="L10" s="7"/>
      <c r="M10" s="10"/>
      <c r="N10" s="10"/>
      <c r="O10" s="10"/>
    </row>
    <row r="11" spans="1:15" ht="15.4" x14ac:dyDescent="0.45">
      <c r="A11" s="3" t="str">
        <f t="shared" si="0"/>
        <v>058</v>
      </c>
      <c r="B11" s="3" t="s">
        <v>12</v>
      </c>
      <c r="C11" s="3" t="s">
        <v>13</v>
      </c>
      <c r="D11" s="3" t="s">
        <v>60</v>
      </c>
      <c r="E11" s="3" t="s">
        <v>43</v>
      </c>
      <c r="F11" s="3">
        <v>902</v>
      </c>
      <c r="G11" s="7">
        <v>566</v>
      </c>
      <c r="H11" s="7" t="s">
        <v>15</v>
      </c>
      <c r="I11" s="6">
        <v>0.99004000000000003</v>
      </c>
      <c r="J11" s="6">
        <v>5.0000000000000002E-5</v>
      </c>
      <c r="K11" s="7" t="s">
        <v>31</v>
      </c>
      <c r="L11" s="7"/>
      <c r="M11" s="10"/>
      <c r="N11" s="10"/>
      <c r="O11" s="10"/>
    </row>
    <row r="12" spans="1:15" ht="15.4" x14ac:dyDescent="0.45">
      <c r="A12" s="3" t="str">
        <f t="shared" si="0"/>
        <v>059</v>
      </c>
      <c r="B12" s="3" t="s">
        <v>12</v>
      </c>
      <c r="C12" s="3" t="s">
        <v>13</v>
      </c>
      <c r="D12" s="3" t="s">
        <v>60</v>
      </c>
      <c r="E12" s="3" t="s">
        <v>43</v>
      </c>
      <c r="F12" s="3">
        <v>810</v>
      </c>
      <c r="G12" s="7">
        <v>566</v>
      </c>
      <c r="H12" s="7" t="s">
        <v>15</v>
      </c>
      <c r="I12" s="6">
        <v>1.00163</v>
      </c>
      <c r="J12" s="6">
        <v>4.0000000000000003E-5</v>
      </c>
      <c r="K12" s="7" t="s">
        <v>31</v>
      </c>
      <c r="L12" s="7"/>
      <c r="M12" s="10"/>
      <c r="N12" s="10"/>
      <c r="O12" s="10"/>
    </row>
    <row r="13" spans="1:15" ht="15.4" x14ac:dyDescent="0.45">
      <c r="A13" s="3" t="str">
        <f t="shared" si="0"/>
        <v>060</v>
      </c>
      <c r="B13" s="3" t="s">
        <v>12</v>
      </c>
      <c r="C13" s="3" t="s">
        <v>13</v>
      </c>
      <c r="D13" s="3" t="s">
        <v>60</v>
      </c>
      <c r="E13" s="3" t="s">
        <v>46</v>
      </c>
      <c r="F13" s="3">
        <v>810</v>
      </c>
      <c r="G13" s="7">
        <v>566</v>
      </c>
      <c r="H13" s="7" t="s">
        <v>15</v>
      </c>
      <c r="I13" s="6">
        <v>0.98968</v>
      </c>
      <c r="J13" s="6">
        <v>5.0000000000000002E-5</v>
      </c>
      <c r="K13" s="7" t="s">
        <v>31</v>
      </c>
      <c r="L13" s="7"/>
      <c r="M13" s="10"/>
      <c r="N13" s="10"/>
      <c r="O13" s="10"/>
    </row>
    <row r="14" spans="1:15" ht="15.4" x14ac:dyDescent="0.45">
      <c r="A14" s="3" t="str">
        <f t="shared" si="0"/>
        <v>061</v>
      </c>
      <c r="B14" s="3" t="s">
        <v>12</v>
      </c>
      <c r="C14" s="3" t="s">
        <v>13</v>
      </c>
      <c r="D14" s="3" t="s">
        <v>60</v>
      </c>
      <c r="E14" s="3" t="s">
        <v>46</v>
      </c>
      <c r="F14" s="3">
        <v>768.09144000000003</v>
      </c>
      <c r="G14" s="7">
        <v>566</v>
      </c>
      <c r="H14" s="7" t="s">
        <v>15</v>
      </c>
      <c r="I14" s="6">
        <v>0.99509999999999998</v>
      </c>
      <c r="J14" s="6">
        <v>4.0000000000000003E-5</v>
      </c>
      <c r="K14" s="7" t="s">
        <v>31</v>
      </c>
      <c r="L14" s="3"/>
      <c r="M14" s="10"/>
      <c r="N14" s="10"/>
      <c r="O14" s="10"/>
    </row>
    <row r="15" spans="1:15" ht="15.4" x14ac:dyDescent="0.45">
      <c r="A15" s="3" t="str">
        <f t="shared" si="0"/>
        <v>062</v>
      </c>
      <c r="B15" s="3" t="s">
        <v>12</v>
      </c>
      <c r="C15" s="3" t="s">
        <v>13</v>
      </c>
      <c r="D15" s="3" t="s">
        <v>60</v>
      </c>
      <c r="E15" s="3" t="s">
        <v>44</v>
      </c>
      <c r="F15" s="3">
        <v>768.09144000000003</v>
      </c>
      <c r="G15" s="7">
        <v>566</v>
      </c>
      <c r="H15" s="7" t="s">
        <v>15</v>
      </c>
      <c r="I15" s="6">
        <v>0.98946999999999996</v>
      </c>
      <c r="J15" s="6">
        <v>5.0000000000000002E-5</v>
      </c>
      <c r="K15" s="7" t="s">
        <v>31</v>
      </c>
      <c r="L15" s="3"/>
      <c r="M15" s="10"/>
      <c r="N15" s="10"/>
      <c r="O15" s="10"/>
    </row>
    <row r="16" spans="1:15" ht="15.4" x14ac:dyDescent="0.45">
      <c r="A16" s="3" t="str">
        <f t="shared" si="0"/>
        <v>063</v>
      </c>
      <c r="B16" s="3" t="s">
        <v>12</v>
      </c>
      <c r="C16" s="3" t="s">
        <v>13</v>
      </c>
      <c r="D16" s="3" t="s">
        <v>60</v>
      </c>
      <c r="E16" s="3" t="s">
        <v>44</v>
      </c>
      <c r="F16" s="3">
        <v>686</v>
      </c>
      <c r="G16" s="7">
        <v>566</v>
      </c>
      <c r="H16" s="7" t="s">
        <v>15</v>
      </c>
      <c r="I16" s="6">
        <v>0.99968999999999997</v>
      </c>
      <c r="J16" s="6">
        <v>4.0000000000000003E-5</v>
      </c>
      <c r="K16" s="7" t="s">
        <v>31</v>
      </c>
      <c r="L16" s="7"/>
      <c r="M16" s="10"/>
      <c r="N16" s="10"/>
      <c r="O16" s="10"/>
    </row>
    <row r="17" spans="1:20" ht="30.75" x14ac:dyDescent="0.45">
      <c r="A17" s="3" t="str">
        <f t="shared" si="0"/>
        <v>064</v>
      </c>
      <c r="B17" s="3" t="s">
        <v>12</v>
      </c>
      <c r="C17" s="3" t="s">
        <v>13</v>
      </c>
      <c r="D17" s="3" t="s">
        <v>60</v>
      </c>
      <c r="E17" s="3" t="s">
        <v>47</v>
      </c>
      <c r="F17" s="3">
        <v>686</v>
      </c>
      <c r="G17" s="7">
        <v>566</v>
      </c>
      <c r="H17" s="7" t="s">
        <v>15</v>
      </c>
      <c r="I17" s="6">
        <v>0.99478</v>
      </c>
      <c r="J17" s="6">
        <v>4.0000000000000003E-5</v>
      </c>
      <c r="K17" s="7" t="s">
        <v>31</v>
      </c>
      <c r="L17" s="7"/>
      <c r="M17" s="10"/>
      <c r="N17" s="10"/>
      <c r="O17" s="10"/>
    </row>
    <row r="18" spans="1:20" ht="30.75" x14ac:dyDescent="0.45">
      <c r="A18" s="3" t="str">
        <f t="shared" si="0"/>
        <v>065</v>
      </c>
      <c r="B18" s="3" t="s">
        <v>12</v>
      </c>
      <c r="C18" s="3" t="s">
        <v>13</v>
      </c>
      <c r="D18" s="3" t="s">
        <v>60</v>
      </c>
      <c r="E18" s="3" t="s">
        <v>47</v>
      </c>
      <c r="F18" s="3">
        <v>631.32952999999998</v>
      </c>
      <c r="G18" s="7">
        <v>566</v>
      </c>
      <c r="H18" s="7" t="s">
        <v>15</v>
      </c>
      <c r="I18" s="6">
        <v>1.0015099999999999</v>
      </c>
      <c r="J18" s="6">
        <v>5.0000000000000002E-5</v>
      </c>
      <c r="K18" s="7" t="s">
        <v>31</v>
      </c>
      <c r="L18" s="7"/>
      <c r="M18" s="10"/>
      <c r="N18" s="10"/>
      <c r="O18" s="10"/>
    </row>
    <row r="19" spans="1:20" ht="30.75" x14ac:dyDescent="0.45">
      <c r="A19" s="3" t="str">
        <f t="shared" si="0"/>
        <v>066</v>
      </c>
      <c r="B19" s="3" t="s">
        <v>12</v>
      </c>
      <c r="C19" s="3" t="s">
        <v>13</v>
      </c>
      <c r="D19" s="3" t="s">
        <v>60</v>
      </c>
      <c r="E19" s="3" t="s">
        <v>48</v>
      </c>
      <c r="F19" s="3">
        <v>631.32952999999998</v>
      </c>
      <c r="G19" s="7">
        <v>566</v>
      </c>
      <c r="H19" s="7" t="s">
        <v>15</v>
      </c>
      <c r="I19" s="6">
        <v>0.99373</v>
      </c>
      <c r="J19" s="6">
        <v>5.0000000000000002E-5</v>
      </c>
      <c r="K19" s="7" t="s">
        <v>31</v>
      </c>
      <c r="L19" s="7"/>
      <c r="M19" s="10"/>
      <c r="N19" s="10"/>
      <c r="O19" s="10"/>
    </row>
    <row r="20" spans="1:20" ht="30.75" x14ac:dyDescent="0.45">
      <c r="A20" s="3" t="str">
        <f t="shared" si="0"/>
        <v>067</v>
      </c>
      <c r="B20" s="3" t="s">
        <v>12</v>
      </c>
      <c r="C20" s="3" t="s">
        <v>13</v>
      </c>
      <c r="D20" s="3" t="s">
        <v>60</v>
      </c>
      <c r="E20" s="3" t="s">
        <v>48</v>
      </c>
      <c r="F20" s="3">
        <v>553.50199999999995</v>
      </c>
      <c r="G20" s="7">
        <v>566</v>
      </c>
      <c r="H20" s="7" t="s">
        <v>15</v>
      </c>
      <c r="I20" s="6">
        <v>1.00326</v>
      </c>
      <c r="J20" s="6">
        <v>5.0000000000000002E-5</v>
      </c>
      <c r="K20" s="7" t="s">
        <v>31</v>
      </c>
      <c r="L20" s="7"/>
      <c r="M20" s="10"/>
      <c r="N20" s="10"/>
      <c r="O20" s="10"/>
    </row>
    <row r="21" spans="1:20" ht="30.75" x14ac:dyDescent="0.45">
      <c r="A21" s="3" t="str">
        <f t="shared" si="0"/>
        <v>068</v>
      </c>
      <c r="B21" s="3" t="s">
        <v>12</v>
      </c>
      <c r="C21" s="3" t="s">
        <v>13</v>
      </c>
      <c r="D21" s="3" t="s">
        <v>60</v>
      </c>
      <c r="E21" s="3" t="s">
        <v>45</v>
      </c>
      <c r="F21" s="3">
        <v>553.50199999999995</v>
      </c>
      <c r="G21" s="7">
        <v>566</v>
      </c>
      <c r="H21" s="7" t="s">
        <v>15</v>
      </c>
      <c r="I21" s="6">
        <v>0.99222999999999995</v>
      </c>
      <c r="J21" s="6">
        <v>4.0000000000000003E-5</v>
      </c>
      <c r="K21" s="7" t="s">
        <v>31</v>
      </c>
      <c r="L21" s="7"/>
      <c r="M21" s="10"/>
      <c r="N21" s="10"/>
      <c r="O21" s="10"/>
    </row>
    <row r="22" spans="1:20" ht="30.75" x14ac:dyDescent="0.45">
      <c r="A22" s="3" t="str">
        <f t="shared" si="0"/>
        <v>069</v>
      </c>
      <c r="B22" s="3" t="s">
        <v>12</v>
      </c>
      <c r="C22" s="3" t="s">
        <v>13</v>
      </c>
      <c r="D22" s="3" t="s">
        <v>60</v>
      </c>
      <c r="E22" s="15" t="s">
        <v>45</v>
      </c>
      <c r="F22" s="15">
        <v>508</v>
      </c>
      <c r="G22" s="16">
        <v>566</v>
      </c>
      <c r="H22" s="16" t="s">
        <v>15</v>
      </c>
      <c r="I22" s="17">
        <v>0.99789000000000005</v>
      </c>
      <c r="J22" s="17">
        <v>4.0000000000000003E-5</v>
      </c>
      <c r="K22" s="7" t="s">
        <v>31</v>
      </c>
      <c r="L22" s="7"/>
      <c r="M22" s="10"/>
      <c r="N22" s="10"/>
      <c r="O22" s="10"/>
    </row>
    <row r="23" spans="1:20" ht="15.4" x14ac:dyDescent="0.45">
      <c r="A23" s="3" t="str">
        <f t="shared" si="0"/>
        <v>070</v>
      </c>
      <c r="B23" s="3" t="s">
        <v>12</v>
      </c>
      <c r="C23" s="3" t="s">
        <v>13</v>
      </c>
      <c r="D23" s="3" t="s">
        <v>60</v>
      </c>
      <c r="E23" s="3" t="s">
        <v>14</v>
      </c>
      <c r="F23" s="3">
        <v>975</v>
      </c>
      <c r="G23" s="7">
        <v>300</v>
      </c>
      <c r="H23" s="3" t="s">
        <v>40</v>
      </c>
      <c r="I23" s="6">
        <v>1.01844</v>
      </c>
      <c r="J23" s="6">
        <v>4.0000000000000003E-5</v>
      </c>
      <c r="K23" s="7" t="s">
        <v>66</v>
      </c>
      <c r="L23" s="7"/>
      <c r="M23" s="10"/>
      <c r="N23" s="10"/>
      <c r="O23" s="10"/>
    </row>
    <row r="24" spans="1:20" ht="15.4" x14ac:dyDescent="0.45">
      <c r="A24" s="3" t="str">
        <f t="shared" si="0"/>
        <v>071</v>
      </c>
      <c r="B24" s="3" t="s">
        <v>12</v>
      </c>
      <c r="C24" s="3" t="s">
        <v>13</v>
      </c>
      <c r="D24" s="3" t="s">
        <v>60</v>
      </c>
      <c r="E24" s="3" t="s">
        <v>14</v>
      </c>
      <c r="F24" s="3">
        <v>975</v>
      </c>
      <c r="G24" s="7">
        <v>400</v>
      </c>
      <c r="H24" s="3" t="s">
        <v>40</v>
      </c>
      <c r="I24" s="6">
        <v>1.0155000000000001</v>
      </c>
      <c r="J24" s="6">
        <v>5.0000000000000002E-5</v>
      </c>
      <c r="K24" s="7" t="s">
        <v>66</v>
      </c>
      <c r="L24" s="7"/>
      <c r="M24" s="10"/>
      <c r="N24" s="10"/>
      <c r="O24" s="10"/>
    </row>
    <row r="25" spans="1:20" ht="15.4" x14ac:dyDescent="0.45">
      <c r="A25" s="3" t="str">
        <f t="shared" si="0"/>
        <v>072</v>
      </c>
      <c r="B25" s="3" t="s">
        <v>12</v>
      </c>
      <c r="C25" s="3" t="s">
        <v>13</v>
      </c>
      <c r="D25" s="3" t="s">
        <v>60</v>
      </c>
      <c r="E25" s="3" t="s">
        <v>14</v>
      </c>
      <c r="F25" s="3">
        <v>975</v>
      </c>
      <c r="G25" s="7">
        <v>500</v>
      </c>
      <c r="H25" s="3" t="s">
        <v>40</v>
      </c>
      <c r="I25" s="6">
        <v>1.0019899999999999</v>
      </c>
      <c r="J25" s="6">
        <v>4.0000000000000003E-5</v>
      </c>
      <c r="K25" s="7" t="s">
        <v>66</v>
      </c>
      <c r="L25" s="7"/>
      <c r="M25" s="10"/>
      <c r="N25" s="10"/>
      <c r="O25" s="10"/>
    </row>
    <row r="26" spans="1:20" ht="15.4" x14ac:dyDescent="0.45">
      <c r="A26" s="3" t="str">
        <f t="shared" si="0"/>
        <v>073</v>
      </c>
      <c r="B26" s="3" t="s">
        <v>12</v>
      </c>
      <c r="C26" s="3" t="s">
        <v>13</v>
      </c>
      <c r="D26" s="3" t="s">
        <v>60</v>
      </c>
      <c r="E26" s="3" t="s">
        <v>14</v>
      </c>
      <c r="F26" s="3">
        <v>975</v>
      </c>
      <c r="G26" s="7">
        <v>550</v>
      </c>
      <c r="H26" s="3" t="s">
        <v>40</v>
      </c>
      <c r="I26" s="6">
        <v>1.0003500000000001</v>
      </c>
      <c r="J26" s="6">
        <v>5.0000000000000002E-5</v>
      </c>
      <c r="K26" s="7" t="s">
        <v>66</v>
      </c>
      <c r="L26" s="7"/>
      <c r="M26" s="10"/>
      <c r="N26" s="10"/>
      <c r="O26" s="10"/>
    </row>
    <row r="27" spans="1:20" ht="15.4" x14ac:dyDescent="0.45">
      <c r="A27" s="3" t="str">
        <f t="shared" si="0"/>
        <v>074</v>
      </c>
      <c r="B27" s="3" t="s">
        <v>12</v>
      </c>
      <c r="C27" s="3" t="s">
        <v>13</v>
      </c>
      <c r="D27" s="3" t="s">
        <v>60</v>
      </c>
      <c r="E27" s="3" t="s">
        <v>14</v>
      </c>
      <c r="F27" s="3">
        <v>975</v>
      </c>
      <c r="G27" s="7">
        <v>566</v>
      </c>
      <c r="H27" s="3" t="s">
        <v>40</v>
      </c>
      <c r="I27" s="6">
        <v>0.99975999999999998</v>
      </c>
      <c r="J27" s="6">
        <v>4.0000000000000003E-5</v>
      </c>
      <c r="K27" s="7" t="s">
        <v>66</v>
      </c>
      <c r="L27" s="7"/>
      <c r="M27" s="10"/>
      <c r="N27" s="10"/>
      <c r="O27" s="10"/>
    </row>
    <row r="28" spans="1:20" ht="15.4" x14ac:dyDescent="0.45">
      <c r="A28" s="3" t="str">
        <f t="shared" si="0"/>
        <v>075</v>
      </c>
      <c r="B28" s="3" t="s">
        <v>12</v>
      </c>
      <c r="C28" s="3" t="s">
        <v>13</v>
      </c>
      <c r="D28" s="3" t="s">
        <v>60</v>
      </c>
      <c r="E28" s="3" t="s">
        <v>14</v>
      </c>
      <c r="F28" s="3">
        <v>975</v>
      </c>
      <c r="G28" s="7">
        <v>600</v>
      </c>
      <c r="H28" s="3" t="s">
        <v>40</v>
      </c>
      <c r="I28" s="6">
        <v>0.99895999999999996</v>
      </c>
      <c r="J28" s="6">
        <v>4.0000000000000003E-5</v>
      </c>
      <c r="K28" s="7" t="s">
        <v>66</v>
      </c>
      <c r="L28" s="7"/>
      <c r="M28" s="10"/>
      <c r="N28" s="10"/>
      <c r="O28" s="10"/>
    </row>
    <row r="29" spans="1:20" ht="15.4" x14ac:dyDescent="0.45">
      <c r="A29" s="3" t="str">
        <f t="shared" si="0"/>
        <v>076</v>
      </c>
      <c r="B29" s="3" t="s">
        <v>12</v>
      </c>
      <c r="C29" s="3" t="s">
        <v>13</v>
      </c>
      <c r="D29" s="3" t="s">
        <v>60</v>
      </c>
      <c r="E29" s="3" t="s">
        <v>14</v>
      </c>
      <c r="F29" s="3">
        <v>975</v>
      </c>
      <c r="G29" s="7">
        <v>700</v>
      </c>
      <c r="H29" s="3" t="s">
        <v>40</v>
      </c>
      <c r="I29" s="6">
        <v>0.99758999999999998</v>
      </c>
      <c r="J29" s="6">
        <v>4.0000000000000003E-5</v>
      </c>
      <c r="K29" s="7" t="s">
        <v>66</v>
      </c>
      <c r="L29" s="7"/>
      <c r="M29" s="10"/>
      <c r="N29" s="10"/>
      <c r="O29" s="10"/>
    </row>
    <row r="30" spans="1:20" ht="15.4" x14ac:dyDescent="0.45">
      <c r="A30" s="3" t="str">
        <f t="shared" si="0"/>
        <v>077</v>
      </c>
      <c r="B30" s="3" t="s">
        <v>12</v>
      </c>
      <c r="C30" s="3" t="s">
        <v>13</v>
      </c>
      <c r="D30" s="3" t="s">
        <v>60</v>
      </c>
      <c r="E30" s="3" t="s">
        <v>14</v>
      </c>
      <c r="F30" s="3">
        <v>975</v>
      </c>
      <c r="G30" s="7">
        <v>300</v>
      </c>
      <c r="H30" s="3" t="s">
        <v>40</v>
      </c>
      <c r="I30" s="6">
        <v>1.0194300000000001</v>
      </c>
      <c r="J30" s="6">
        <v>5.0000000000000002E-5</v>
      </c>
      <c r="K30" s="7" t="s">
        <v>66</v>
      </c>
      <c r="L30" s="12" t="s">
        <v>62</v>
      </c>
      <c r="M30" s="10"/>
      <c r="N30" s="10"/>
      <c r="O30" s="10"/>
    </row>
    <row r="31" spans="1:20" s="3" customFormat="1" ht="15.4" x14ac:dyDescent="0.45">
      <c r="A31" s="3" t="str">
        <f t="shared" si="0"/>
        <v>078</v>
      </c>
      <c r="B31" s="3" t="s">
        <v>12</v>
      </c>
      <c r="C31" s="3" t="s">
        <v>13</v>
      </c>
      <c r="D31" s="3" t="s">
        <v>60</v>
      </c>
      <c r="E31" s="3" t="s">
        <v>14</v>
      </c>
      <c r="F31" s="3">
        <v>975</v>
      </c>
      <c r="G31" s="3">
        <v>400</v>
      </c>
      <c r="H31" s="3" t="s">
        <v>40</v>
      </c>
      <c r="I31" s="6">
        <v>1.0194300000000001</v>
      </c>
      <c r="J31" s="6">
        <v>5.0000000000000002E-5</v>
      </c>
      <c r="K31" s="7" t="s">
        <v>66</v>
      </c>
      <c r="L31" s="12" t="s">
        <v>62</v>
      </c>
      <c r="M31" s="12"/>
      <c r="N31" s="12"/>
      <c r="Q31" s="7"/>
    </row>
    <row r="32" spans="1:20" s="3" customFormat="1" ht="15.4" x14ac:dyDescent="0.45">
      <c r="A32" s="3" t="str">
        <f t="shared" si="0"/>
        <v>079</v>
      </c>
      <c r="B32" s="3" t="s">
        <v>12</v>
      </c>
      <c r="C32" s="3" t="s">
        <v>13</v>
      </c>
      <c r="D32" s="3" t="s">
        <v>60</v>
      </c>
      <c r="E32" s="3" t="s">
        <v>14</v>
      </c>
      <c r="F32" s="3">
        <v>975</v>
      </c>
      <c r="G32" s="7">
        <v>500</v>
      </c>
      <c r="H32" s="3" t="s">
        <v>40</v>
      </c>
      <c r="I32" s="6">
        <v>0.99875000000000003</v>
      </c>
      <c r="J32" s="6">
        <v>5.0000000000000002E-5</v>
      </c>
      <c r="K32" s="7" t="s">
        <v>66</v>
      </c>
      <c r="L32" s="12" t="s">
        <v>62</v>
      </c>
      <c r="M32" s="12"/>
      <c r="N32" s="12"/>
      <c r="Q32" s="7"/>
      <c r="T32" s="7"/>
    </row>
    <row r="33" spans="1:20" s="3" customFormat="1" ht="15.4" x14ac:dyDescent="0.45">
      <c r="A33" s="3" t="str">
        <f t="shared" si="0"/>
        <v>080</v>
      </c>
      <c r="B33" s="3" t="s">
        <v>12</v>
      </c>
      <c r="C33" s="3" t="s">
        <v>13</v>
      </c>
      <c r="D33" s="3" t="s">
        <v>60</v>
      </c>
      <c r="E33" s="3" t="s">
        <v>14</v>
      </c>
      <c r="F33" s="3">
        <v>975</v>
      </c>
      <c r="G33" s="7">
        <v>550</v>
      </c>
      <c r="H33" s="3" t="s">
        <v>40</v>
      </c>
      <c r="I33" s="6">
        <v>0.99875000000000003</v>
      </c>
      <c r="J33" s="6">
        <v>5.0000000000000002E-5</v>
      </c>
      <c r="K33" s="7" t="s">
        <v>66</v>
      </c>
      <c r="L33" s="12" t="s">
        <v>62</v>
      </c>
      <c r="M33" s="12"/>
      <c r="N33" s="12"/>
      <c r="Q33" s="7"/>
    </row>
    <row r="34" spans="1:20" s="3" customFormat="1" ht="15.4" x14ac:dyDescent="0.45">
      <c r="A34" s="3" t="str">
        <f t="shared" si="0"/>
        <v>081</v>
      </c>
      <c r="B34" s="3" t="s">
        <v>12</v>
      </c>
      <c r="C34" s="3" t="s">
        <v>13</v>
      </c>
      <c r="D34" s="3" t="s">
        <v>60</v>
      </c>
      <c r="E34" s="3" t="s">
        <v>14</v>
      </c>
      <c r="F34" s="3">
        <v>975</v>
      </c>
      <c r="G34" s="7">
        <v>566</v>
      </c>
      <c r="H34" s="3" t="s">
        <v>40</v>
      </c>
      <c r="I34" s="6">
        <v>0.99875000000000003</v>
      </c>
      <c r="J34" s="6">
        <v>5.0000000000000002E-5</v>
      </c>
      <c r="K34" s="7" t="s">
        <v>66</v>
      </c>
      <c r="L34" s="12" t="s">
        <v>62</v>
      </c>
      <c r="M34" s="12"/>
      <c r="N34" s="12"/>
      <c r="Q34" s="7"/>
      <c r="T34" s="7"/>
    </row>
    <row r="35" spans="1:20" s="3" customFormat="1" ht="15.4" x14ac:dyDescent="0.45">
      <c r="A35" s="3" t="str">
        <f t="shared" si="0"/>
        <v>082</v>
      </c>
      <c r="B35" s="3" t="s">
        <v>12</v>
      </c>
      <c r="C35" s="3" t="s">
        <v>13</v>
      </c>
      <c r="D35" s="3" t="s">
        <v>60</v>
      </c>
      <c r="E35" s="3" t="s">
        <v>14</v>
      </c>
      <c r="F35" s="3">
        <v>975</v>
      </c>
      <c r="G35" s="7">
        <v>600</v>
      </c>
      <c r="H35" s="3" t="s">
        <v>40</v>
      </c>
      <c r="I35" s="6">
        <v>0.99875000000000003</v>
      </c>
      <c r="J35" s="6">
        <v>5.0000000000000002E-5</v>
      </c>
      <c r="K35" s="7" t="s">
        <v>66</v>
      </c>
      <c r="L35" s="12" t="s">
        <v>62</v>
      </c>
      <c r="M35" s="12"/>
      <c r="N35" s="12"/>
      <c r="Q35" s="7"/>
      <c r="T35" s="7"/>
    </row>
    <row r="36" spans="1:20" s="3" customFormat="1" ht="15.4" x14ac:dyDescent="0.45">
      <c r="A36" s="3" t="str">
        <f t="shared" si="0"/>
        <v>083</v>
      </c>
      <c r="B36" s="3" t="s">
        <v>12</v>
      </c>
      <c r="C36" s="3" t="s">
        <v>13</v>
      </c>
      <c r="D36" s="3" t="s">
        <v>60</v>
      </c>
      <c r="E36" s="3" t="s">
        <v>14</v>
      </c>
      <c r="F36" s="3">
        <v>975</v>
      </c>
      <c r="G36" s="7">
        <v>700</v>
      </c>
      <c r="H36" s="3" t="s">
        <v>40</v>
      </c>
      <c r="I36" s="6">
        <v>0.99875000000000003</v>
      </c>
      <c r="J36" s="6">
        <v>5.0000000000000002E-5</v>
      </c>
      <c r="K36" s="7" t="s">
        <v>66</v>
      </c>
      <c r="L36" s="12" t="s">
        <v>62</v>
      </c>
      <c r="M36" s="12"/>
      <c r="N36" s="12"/>
      <c r="Q36" s="7"/>
      <c r="T36" s="7"/>
    </row>
    <row r="37" spans="1:20" s="3" customFormat="1" ht="15.4" x14ac:dyDescent="0.45">
      <c r="A37" s="3" t="str">
        <f t="shared" si="0"/>
        <v>084</v>
      </c>
      <c r="B37" s="3" t="s">
        <v>12</v>
      </c>
      <c r="C37" s="3" t="s">
        <v>13</v>
      </c>
      <c r="D37" s="3" t="s">
        <v>60</v>
      </c>
      <c r="E37" s="3" t="s">
        <v>14</v>
      </c>
      <c r="F37" s="3">
        <v>975</v>
      </c>
      <c r="G37" s="7">
        <v>300</v>
      </c>
      <c r="H37" s="7" t="s">
        <v>15</v>
      </c>
      <c r="I37" s="6">
        <v>1.01824</v>
      </c>
      <c r="J37" s="6">
        <v>5.0000000000000002E-5</v>
      </c>
      <c r="K37" s="7" t="s">
        <v>66</v>
      </c>
      <c r="M37" s="12"/>
      <c r="N37" s="12"/>
      <c r="Q37" s="7"/>
    </row>
    <row r="38" spans="1:20" s="3" customFormat="1" ht="15.4" x14ac:dyDescent="0.45">
      <c r="A38" s="3" t="str">
        <f t="shared" si="0"/>
        <v>085</v>
      </c>
      <c r="B38" s="3" t="s">
        <v>12</v>
      </c>
      <c r="C38" s="3" t="s">
        <v>13</v>
      </c>
      <c r="D38" s="3" t="s">
        <v>60</v>
      </c>
      <c r="E38" s="3" t="s">
        <v>14</v>
      </c>
      <c r="F38" s="3">
        <v>975</v>
      </c>
      <c r="G38" s="7">
        <v>400</v>
      </c>
      <c r="H38" s="7" t="s">
        <v>15</v>
      </c>
      <c r="I38" s="6">
        <v>1.0118400000000001</v>
      </c>
      <c r="J38" s="6">
        <v>4.0000000000000003E-5</v>
      </c>
      <c r="K38" s="7" t="s">
        <v>66</v>
      </c>
      <c r="M38" s="12"/>
      <c r="N38" s="12"/>
      <c r="Q38" s="7"/>
      <c r="T38" s="7"/>
    </row>
    <row r="39" spans="1:20" s="3" customFormat="1" ht="15.4" x14ac:dyDescent="0.45">
      <c r="A39" s="3" t="str">
        <f t="shared" si="0"/>
        <v>086</v>
      </c>
      <c r="B39" s="3" t="s">
        <v>12</v>
      </c>
      <c r="C39" s="3" t="s">
        <v>13</v>
      </c>
      <c r="D39" s="3" t="s">
        <v>60</v>
      </c>
      <c r="E39" s="3" t="s">
        <v>14</v>
      </c>
      <c r="F39" s="3">
        <v>975</v>
      </c>
      <c r="G39" s="7">
        <v>500</v>
      </c>
      <c r="H39" s="7" t="s">
        <v>15</v>
      </c>
      <c r="I39" s="6">
        <v>1.00515</v>
      </c>
      <c r="J39" s="6">
        <v>4.0000000000000003E-5</v>
      </c>
      <c r="K39" s="7" t="s">
        <v>66</v>
      </c>
      <c r="M39" s="12"/>
      <c r="N39" s="12"/>
      <c r="Q39" s="7"/>
      <c r="T39" s="7"/>
    </row>
    <row r="40" spans="1:20" s="3" customFormat="1" ht="15.4" x14ac:dyDescent="0.45">
      <c r="A40" s="3" t="str">
        <f t="shared" si="0"/>
        <v>087</v>
      </c>
      <c r="B40" s="3" t="s">
        <v>12</v>
      </c>
      <c r="C40" s="3" t="s">
        <v>13</v>
      </c>
      <c r="D40" s="3" t="s">
        <v>60</v>
      </c>
      <c r="E40" s="3" t="s">
        <v>14</v>
      </c>
      <c r="F40" s="3">
        <v>975</v>
      </c>
      <c r="G40" s="7">
        <v>550</v>
      </c>
      <c r="H40" s="7" t="s">
        <v>15</v>
      </c>
      <c r="I40" s="6">
        <v>1.0021100000000001</v>
      </c>
      <c r="J40" s="6">
        <v>4.0000000000000003E-5</v>
      </c>
      <c r="K40" s="7" t="s">
        <v>66</v>
      </c>
      <c r="M40" s="12"/>
      <c r="N40" s="12"/>
      <c r="Q40" s="7"/>
      <c r="T40" s="7"/>
    </row>
    <row r="41" spans="1:20" s="3" customFormat="1" ht="15.4" x14ac:dyDescent="0.45">
      <c r="A41" s="3" t="str">
        <f t="shared" si="0"/>
        <v>088</v>
      </c>
      <c r="B41" s="3" t="s">
        <v>12</v>
      </c>
      <c r="C41" s="3" t="s">
        <v>13</v>
      </c>
      <c r="D41" s="3" t="s">
        <v>60</v>
      </c>
      <c r="E41" s="3" t="s">
        <v>14</v>
      </c>
      <c r="F41" s="3">
        <v>975</v>
      </c>
      <c r="G41" s="7">
        <v>566</v>
      </c>
      <c r="H41" s="7" t="s">
        <v>15</v>
      </c>
      <c r="I41" s="6">
        <v>1.00101</v>
      </c>
      <c r="J41" s="6">
        <v>5.0000000000000002E-5</v>
      </c>
      <c r="K41" s="7" t="s">
        <v>66</v>
      </c>
      <c r="M41" s="12"/>
      <c r="N41" s="12"/>
      <c r="Q41" s="7"/>
      <c r="T41" s="7"/>
    </row>
    <row r="42" spans="1:20" s="3" customFormat="1" ht="15.4" x14ac:dyDescent="0.45">
      <c r="A42" s="3" t="str">
        <f t="shared" si="0"/>
        <v>089</v>
      </c>
      <c r="B42" s="3" t="s">
        <v>12</v>
      </c>
      <c r="C42" s="3" t="s">
        <v>13</v>
      </c>
      <c r="D42" s="3" t="s">
        <v>60</v>
      </c>
      <c r="E42" s="3" t="s">
        <v>14</v>
      </c>
      <c r="F42" s="3">
        <v>975</v>
      </c>
      <c r="G42" s="7">
        <v>600</v>
      </c>
      <c r="H42" s="7" t="s">
        <v>15</v>
      </c>
      <c r="I42" s="6">
        <v>0.99904000000000004</v>
      </c>
      <c r="J42" s="6">
        <v>4.0000000000000003E-5</v>
      </c>
      <c r="K42" s="7" t="s">
        <v>66</v>
      </c>
      <c r="L42" s="7"/>
      <c r="M42" s="7"/>
      <c r="N42" s="7"/>
      <c r="Q42" s="13"/>
      <c r="T42" s="7"/>
    </row>
    <row r="43" spans="1:20" s="3" customFormat="1" ht="15.4" x14ac:dyDescent="0.45">
      <c r="A43" s="3" t="str">
        <f t="shared" si="0"/>
        <v>090</v>
      </c>
      <c r="B43" s="3" t="s">
        <v>12</v>
      </c>
      <c r="C43" s="3" t="s">
        <v>13</v>
      </c>
      <c r="D43" s="3" t="s">
        <v>60</v>
      </c>
      <c r="E43" s="3" t="s">
        <v>14</v>
      </c>
      <c r="F43" s="3">
        <v>975</v>
      </c>
      <c r="G43" s="7">
        <v>700</v>
      </c>
      <c r="H43" s="7" t="s">
        <v>15</v>
      </c>
      <c r="I43" s="6">
        <v>0.99406000000000005</v>
      </c>
      <c r="J43" s="6">
        <v>4.0000000000000003E-5</v>
      </c>
      <c r="K43" s="7" t="s">
        <v>66</v>
      </c>
      <c r="L43" s="7"/>
      <c r="M43" s="7"/>
      <c r="N43" s="7"/>
      <c r="Q43" s="13"/>
      <c r="T43" s="7"/>
    </row>
    <row r="44" spans="1:20" s="3" customFormat="1" ht="15.4" x14ac:dyDescent="0.45">
      <c r="A44" s="3" t="str">
        <f t="shared" si="0"/>
        <v>091</v>
      </c>
      <c r="B44" s="3" t="s">
        <v>12</v>
      </c>
      <c r="C44" s="3" t="s">
        <v>13</v>
      </c>
      <c r="D44" s="3" t="s">
        <v>60</v>
      </c>
      <c r="E44" s="3" t="s">
        <v>14</v>
      </c>
      <c r="F44" s="3">
        <v>975</v>
      </c>
      <c r="G44" s="7">
        <v>300</v>
      </c>
      <c r="H44" s="7" t="s">
        <v>15</v>
      </c>
      <c r="I44" s="6">
        <v>1.01905</v>
      </c>
      <c r="J44" s="6">
        <v>4.0000000000000003E-5</v>
      </c>
      <c r="K44" s="7" t="s">
        <v>66</v>
      </c>
      <c r="L44" s="12" t="s">
        <v>62</v>
      </c>
      <c r="M44" s="7"/>
      <c r="N44" s="7"/>
      <c r="Q44" s="13"/>
      <c r="T44" s="12"/>
    </row>
    <row r="45" spans="1:20" s="3" customFormat="1" ht="15.4" x14ac:dyDescent="0.45">
      <c r="A45" s="3" t="str">
        <f t="shared" si="0"/>
        <v>092</v>
      </c>
      <c r="B45" s="3" t="s">
        <v>12</v>
      </c>
      <c r="C45" s="3" t="s">
        <v>13</v>
      </c>
      <c r="D45" s="3" t="s">
        <v>60</v>
      </c>
      <c r="E45" s="3" t="s">
        <v>14</v>
      </c>
      <c r="F45" s="3">
        <v>975</v>
      </c>
      <c r="G45" s="3">
        <v>400</v>
      </c>
      <c r="H45" s="7" t="s">
        <v>15</v>
      </c>
      <c r="I45" s="6">
        <v>1.0121500000000001</v>
      </c>
      <c r="J45" s="6">
        <v>4.0000000000000003E-5</v>
      </c>
      <c r="K45" s="7" t="s">
        <v>66</v>
      </c>
      <c r="L45" s="12" t="s">
        <v>62</v>
      </c>
      <c r="M45" s="7"/>
      <c r="N45" s="7"/>
      <c r="Q45" s="13"/>
      <c r="T45" s="12"/>
    </row>
    <row r="46" spans="1:20" ht="15.4" x14ac:dyDescent="0.45">
      <c r="A46" s="3" t="str">
        <f t="shared" si="0"/>
        <v>093</v>
      </c>
      <c r="B46" s="3" t="s">
        <v>12</v>
      </c>
      <c r="C46" s="3" t="s">
        <v>13</v>
      </c>
      <c r="D46" s="3" t="s">
        <v>60</v>
      </c>
      <c r="E46" s="3" t="s">
        <v>14</v>
      </c>
      <c r="F46" s="3">
        <v>975</v>
      </c>
      <c r="G46" s="7">
        <v>500</v>
      </c>
      <c r="H46" s="7" t="s">
        <v>15</v>
      </c>
      <c r="I46" s="6">
        <v>1.0053300000000001</v>
      </c>
      <c r="J46" s="6">
        <v>4.0000000000000003E-5</v>
      </c>
      <c r="K46" s="7" t="s">
        <v>66</v>
      </c>
      <c r="L46" s="12" t="s">
        <v>62</v>
      </c>
    </row>
    <row r="47" spans="1:20" s="3" customFormat="1" ht="17.25" customHeight="1" x14ac:dyDescent="0.45">
      <c r="A47" s="3" t="str">
        <f t="shared" si="0"/>
        <v>094</v>
      </c>
      <c r="B47" s="3" t="s">
        <v>12</v>
      </c>
      <c r="C47" s="3" t="s">
        <v>13</v>
      </c>
      <c r="D47" s="3" t="s">
        <v>60</v>
      </c>
      <c r="E47" s="3" t="s">
        <v>14</v>
      </c>
      <c r="F47" s="3">
        <v>975</v>
      </c>
      <c r="G47" s="7">
        <v>550</v>
      </c>
      <c r="H47" s="7" t="s">
        <v>15</v>
      </c>
      <c r="I47" s="6">
        <v>1.0019899999999999</v>
      </c>
      <c r="J47" s="6">
        <v>4.0000000000000003E-5</v>
      </c>
      <c r="K47" s="7" t="s">
        <v>66</v>
      </c>
      <c r="L47" s="12" t="s">
        <v>62</v>
      </c>
      <c r="M47" s="7"/>
      <c r="N47" s="7"/>
      <c r="Q47" s="13"/>
      <c r="T47" s="12"/>
    </row>
    <row r="48" spans="1:20" s="3" customFormat="1" ht="15.4" x14ac:dyDescent="0.45">
      <c r="A48" s="3" t="str">
        <f t="shared" si="0"/>
        <v>095</v>
      </c>
      <c r="B48" s="3" t="s">
        <v>12</v>
      </c>
      <c r="C48" s="3" t="s">
        <v>13</v>
      </c>
      <c r="D48" s="3" t="s">
        <v>60</v>
      </c>
      <c r="E48" s="3" t="s">
        <v>14</v>
      </c>
      <c r="F48" s="3">
        <v>975</v>
      </c>
      <c r="G48" s="7">
        <v>566</v>
      </c>
      <c r="H48" s="7" t="s">
        <v>15</v>
      </c>
      <c r="I48" s="6">
        <v>1.0010399999999999</v>
      </c>
      <c r="J48" s="6">
        <v>4.0000000000000003E-5</v>
      </c>
      <c r="K48" s="7" t="s">
        <v>66</v>
      </c>
      <c r="L48" s="12" t="s">
        <v>62</v>
      </c>
      <c r="M48" s="7"/>
      <c r="N48" s="7"/>
      <c r="Q48" s="13"/>
      <c r="T48" s="12"/>
    </row>
    <row r="49" spans="1:20" s="3" customFormat="1" ht="15.4" x14ac:dyDescent="0.45">
      <c r="A49" s="3" t="str">
        <f t="shared" si="0"/>
        <v>096</v>
      </c>
      <c r="B49" s="3" t="s">
        <v>12</v>
      </c>
      <c r="C49" s="3" t="s">
        <v>13</v>
      </c>
      <c r="D49" s="3" t="s">
        <v>60</v>
      </c>
      <c r="E49" s="3" t="s">
        <v>14</v>
      </c>
      <c r="F49" s="3">
        <v>975</v>
      </c>
      <c r="G49" s="7">
        <v>600</v>
      </c>
      <c r="H49" s="7" t="s">
        <v>15</v>
      </c>
      <c r="I49" s="6">
        <v>0.99878</v>
      </c>
      <c r="J49" s="6">
        <v>5.0000000000000002E-5</v>
      </c>
      <c r="K49" s="7" t="s">
        <v>66</v>
      </c>
      <c r="L49" s="12" t="s">
        <v>62</v>
      </c>
      <c r="M49" s="7"/>
      <c r="N49" s="7"/>
      <c r="Q49" s="13"/>
      <c r="T49" s="12"/>
    </row>
    <row r="50" spans="1:20" s="3" customFormat="1" ht="15.4" x14ac:dyDescent="0.45">
      <c r="A50" s="3" t="str">
        <f t="shared" si="0"/>
        <v>097</v>
      </c>
      <c r="B50" s="3" t="s">
        <v>12</v>
      </c>
      <c r="C50" s="3" t="s">
        <v>13</v>
      </c>
      <c r="D50" s="3" t="s">
        <v>60</v>
      </c>
      <c r="E50" s="3" t="s">
        <v>14</v>
      </c>
      <c r="F50" s="3">
        <v>975</v>
      </c>
      <c r="G50" s="7">
        <v>700</v>
      </c>
      <c r="H50" s="7" t="s">
        <v>15</v>
      </c>
      <c r="I50" s="6">
        <v>0.99385999999999997</v>
      </c>
      <c r="J50" s="6">
        <v>4.0000000000000003E-5</v>
      </c>
      <c r="K50" s="7" t="s">
        <v>66</v>
      </c>
      <c r="L50" s="12" t="s">
        <v>62</v>
      </c>
      <c r="M50" s="7"/>
      <c r="N50" s="7"/>
      <c r="Q50" s="13"/>
      <c r="T50" s="12"/>
    </row>
    <row r="51" spans="1:20" s="3" customFormat="1" ht="15.75" x14ac:dyDescent="0.5">
      <c r="G51" s="4"/>
      <c r="H51" s="4"/>
      <c r="I51" s="6"/>
      <c r="J51" s="7"/>
      <c r="L51" s="8"/>
      <c r="M51" s="7"/>
      <c r="N51" s="7"/>
      <c r="Q51" s="13"/>
      <c r="T51" s="12"/>
    </row>
    <row r="52" spans="1:20" ht="15.75" x14ac:dyDescent="0.5">
      <c r="A52" s="3"/>
      <c r="B52" s="3"/>
      <c r="C52" s="3"/>
      <c r="D52" s="3"/>
      <c r="E52" s="3"/>
      <c r="F52" s="3"/>
      <c r="G52" s="4"/>
      <c r="H52" s="4"/>
      <c r="I52" s="6"/>
      <c r="J52" s="7"/>
      <c r="K52" s="3"/>
      <c r="M52" s="10"/>
      <c r="N52" s="10"/>
      <c r="O52" s="10"/>
    </row>
    <row r="53" spans="1:20" ht="15.75" x14ac:dyDescent="0.5">
      <c r="A53" s="3"/>
      <c r="B53" s="3"/>
      <c r="C53" s="3"/>
      <c r="D53" s="3"/>
      <c r="E53" s="3"/>
      <c r="F53" s="3"/>
      <c r="G53" s="4"/>
      <c r="H53" s="4"/>
      <c r="I53" s="6"/>
      <c r="J53" s="7"/>
      <c r="K53" s="3"/>
      <c r="M53" s="10"/>
      <c r="N53" s="10"/>
      <c r="O53" s="10"/>
    </row>
    <row r="54" spans="1:20" ht="15.75" x14ac:dyDescent="0.5">
      <c r="A54" s="3"/>
      <c r="B54" s="3"/>
      <c r="C54" s="3"/>
      <c r="D54" s="3"/>
      <c r="E54" s="3"/>
      <c r="F54" s="3"/>
      <c r="G54" s="7"/>
      <c r="H54" s="4"/>
      <c r="I54" s="7"/>
      <c r="J54" s="7"/>
      <c r="K54" s="10"/>
      <c r="L54" s="9"/>
      <c r="M54" s="10"/>
      <c r="N54" s="10"/>
      <c r="O54" s="10"/>
    </row>
    <row r="55" spans="1:20" ht="15.75" x14ac:dyDescent="0.5">
      <c r="A55" s="3"/>
      <c r="B55" s="3"/>
      <c r="C55" s="3"/>
      <c r="D55" s="3"/>
      <c r="E55" s="3"/>
      <c r="F55" s="3"/>
      <c r="G55" s="7"/>
      <c r="H55" s="4"/>
      <c r="I55" s="6"/>
      <c r="J55" s="6"/>
      <c r="K55" s="10"/>
      <c r="L55" s="9"/>
      <c r="M55" s="10"/>
      <c r="N55" s="10"/>
      <c r="O55" s="1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PHYSOR</vt:lpstr>
      <vt:lpstr>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 Oteri</dc:creator>
  <cp:lastModifiedBy>Bailey Oteri (Student)</cp:lastModifiedBy>
  <dcterms:created xsi:type="dcterms:W3CDTF">2025-10-09T17:03:51Z</dcterms:created>
  <dcterms:modified xsi:type="dcterms:W3CDTF">2026-10-16T23:02:36Z</dcterms:modified>
</cp:coreProperties>
</file>